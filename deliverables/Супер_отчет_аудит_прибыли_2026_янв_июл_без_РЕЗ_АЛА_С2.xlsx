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drawings/drawing21.xml" ContentType="application/vnd.openxmlformats-officedocument.drawing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drawings/drawing22.xml" ContentType="application/vnd.openxmlformats-officedocument.drawing+xml"/>
  <Override PartName="/xl/comments/comment24.xml" ContentType="application/vnd.openxmlformats-officedocument.spreadsheetml.comments+xml"/>
  <Override PartName="/xl/worksheets/sheet28.xml" ContentType="application/vnd.openxmlformats-officedocument.spreadsheetml.worksheet+xml"/>
  <Override PartName="/xl/drawings/drawing23.xml" ContentType="application/vnd.openxmlformats-officedocument.drawing+xml"/>
  <Override PartName="/xl/comments/comment25.xml" ContentType="application/vnd.openxmlformats-officedocument.spreadsheetml.comments+xml"/>
  <Override PartName="/xl/worksheets/sheet29.xml" ContentType="application/vnd.openxmlformats-officedocument.spreadsheetml.worksheet+xml"/>
  <Override PartName="/xl/drawings/drawing24.xml" ContentType="application/vnd.openxmlformats-officedocument.drawing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drawings/drawing25.xml" ContentType="application/vnd.openxmlformats-officedocument.drawing+xml"/>
  <Override PartName="/xl/comments/comment27.xml" ContentType="application/vnd.openxmlformats-officedocument.spreadsheetml.comments+xml"/>
  <Override PartName="/xl/worksheets/sheet31.xml" ContentType="application/vnd.openxmlformats-officedocument.spreadsheetml.worksheet+xml"/>
  <Override PartName="/xl/drawings/drawing26.xml" ContentType="application/vnd.openxmlformats-officedocument.drawing+xml"/>
  <Override PartName="/xl/comments/comment28.xml" ContentType="application/vnd.openxmlformats-officedocument.spreadsheetml.comments+xml"/>
  <Override PartName="/xl/worksheets/sheet32.xml" ContentType="application/vnd.openxmlformats-officedocument.spreadsheetml.worksheet+xml"/>
  <Override PartName="/xl/drawings/drawing27.xml" ContentType="application/vnd.openxmlformats-officedocument.drawing+xml"/>
  <Override PartName="/xl/comments/comment29.xml" ContentType="application/vnd.openxmlformats-officedocument.spreadsheetml.comments+xml"/>
  <Override PartName="/xl/worksheets/sheet33.xml" ContentType="application/vnd.openxmlformats-officedocument.spreadsheetml.worksheet+xml"/>
  <Override PartName="/xl/drawings/drawing28.xml" ContentType="application/vnd.openxmlformats-officedocument.drawing+xml"/>
  <Override PartName="/xl/comments/comment30.xml" ContentType="application/vnd.openxmlformats-officedocument.spreadsheetml.comments+xml"/>
  <Override PartName="/xl/worksheets/sheet34.xml" ContentType="application/vnd.openxmlformats-officedocument.spreadsheetml.worksheet+xml"/>
  <Override PartName="/xl/drawings/drawing29.xml" ContentType="application/vnd.openxmlformats-officedocument.drawing+xml"/>
  <Override PartName="/xl/comments/comment31.xml" ContentType="application/vnd.openxmlformats-officedocument.spreadsheetml.comments+xml"/>
  <Override PartName="/xl/worksheets/sheet35.xml" ContentType="application/vnd.openxmlformats-officedocument.spreadsheetml.worksheet+xml"/>
  <Override PartName="/xl/drawings/drawing30.xml" ContentType="application/vnd.openxmlformats-officedocument.drawing+xml"/>
  <Override PartName="/xl/comments/comment32.xml" ContentType="application/vnd.openxmlformats-officedocument.spreadsheetml.comments+xml"/>
  <Override PartName="/xl/worksheets/sheet36.xml" ContentType="application/vnd.openxmlformats-officedocument.spreadsheetml.worksheet+xml"/>
  <Override PartName="/xl/drawings/drawing31.xml" ContentType="application/vnd.openxmlformats-officedocument.drawing+xml"/>
  <Override PartName="/xl/comments/comment33.xml" ContentType="application/vnd.openxmlformats-officedocument.spreadsheetml.comments+xml"/>
  <Override PartName="/xl/worksheets/sheet37.xml" ContentType="application/vnd.openxmlformats-officedocument.spreadsheetml.worksheet+xml"/>
  <Override PartName="/xl/drawings/drawing32.xml" ContentType="application/vnd.openxmlformats-officedocument.drawing+xml"/>
  <Override PartName="/xl/comments/comment34.xml" ContentType="application/vnd.openxmlformats-officedocument.spreadsheetml.comments+xml"/>
  <Override PartName="/xl/worksheets/sheet38.xml" ContentType="application/vnd.openxmlformats-officedocument.spreadsheetml.worksheet+xml"/>
  <Override PartName="/xl/drawings/drawing33.xml" ContentType="application/vnd.openxmlformats-officedocument.drawing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drawings/drawing34.xml" ContentType="application/vnd.openxmlformats-officedocument.drawing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drawings/drawing35.xml" ContentType="application/vnd.openxmlformats-officedocument.drawing+xml"/>
  <Override PartName="/xl/comments/comment37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Главный_дашборд" sheetId="1" state="visible" r:id="rId1"/>
    <sheet xmlns:r="http://schemas.openxmlformats.org/officeDocument/2006/relationships" name="01_Сеть_месяцы" sheetId="2" state="visible" r:id="rId2"/>
    <sheet xmlns:r="http://schemas.openxmlformats.org/officeDocument/2006/relationships" name="02_Рейтинг_магазинов" sheetId="3" state="visible" r:id="rId3"/>
    <sheet xmlns:r="http://schemas.openxmlformats.org/officeDocument/2006/relationships" name="03_Аномалии_и_решения" sheetId="4" state="visible" r:id="rId4"/>
    <sheet xmlns:r="http://schemas.openxmlformats.org/officeDocument/2006/relationships" name="04_Аудит_формул" sheetId="5" state="visible" r:id="rId5"/>
    <sheet xmlns:r="http://schemas.openxmlformats.org/officeDocument/2006/relationships" name="05_Методология" sheetId="6" state="visible" r:id="rId6"/>
    <sheet xmlns:r="http://schemas.openxmlformats.org/officeDocument/2006/relationships" name="М_А1" sheetId="7" state="visible" r:id="rId7"/>
    <sheet xmlns:r="http://schemas.openxmlformats.org/officeDocument/2006/relationships" name="М_А2" sheetId="8" state="visible" r:id="rId8"/>
    <sheet xmlns:r="http://schemas.openxmlformats.org/officeDocument/2006/relationships" name="М_А3" sheetId="9" state="visible" r:id="rId9"/>
    <sheet xmlns:r="http://schemas.openxmlformats.org/officeDocument/2006/relationships" name="М_ГС1" sheetId="10" state="visible" r:id="rId10"/>
    <sheet xmlns:r="http://schemas.openxmlformats.org/officeDocument/2006/relationships" name="М_ГС2" sheetId="11" state="visible" r:id="rId11"/>
    <sheet xmlns:r="http://schemas.openxmlformats.org/officeDocument/2006/relationships" name="М_ЗАО" sheetId="12" state="visible" r:id="rId12"/>
    <sheet xmlns:r="http://schemas.openxmlformats.org/officeDocument/2006/relationships" name="М_ЗАП" sheetId="13" state="visible" r:id="rId13"/>
    <sheet xmlns:r="http://schemas.openxmlformats.org/officeDocument/2006/relationships" name="М_К49" sheetId="14" state="visible" r:id="rId14"/>
    <sheet xmlns:r="http://schemas.openxmlformats.org/officeDocument/2006/relationships" name="М_К80" sheetId="15" state="visible" r:id="rId15"/>
    <sheet xmlns:r="http://schemas.openxmlformats.org/officeDocument/2006/relationships" name="М_КА1" sheetId="16" state="visible" r:id="rId16"/>
    <sheet xmlns:r="http://schemas.openxmlformats.org/officeDocument/2006/relationships" name="М_КА2" sheetId="17" state="visible" r:id="rId17"/>
    <sheet xmlns:r="http://schemas.openxmlformats.org/officeDocument/2006/relationships" name="М_КИР1" sheetId="18" state="visible" r:id="rId18"/>
    <sheet xmlns:r="http://schemas.openxmlformats.org/officeDocument/2006/relationships" name="М_КИР2" sheetId="19" state="visible" r:id="rId19"/>
    <sheet xmlns:r="http://schemas.openxmlformats.org/officeDocument/2006/relationships" name="М_КИР3" sheetId="20" state="visible" r:id="rId20"/>
    <sheet xmlns:r="http://schemas.openxmlformats.org/officeDocument/2006/relationships" name="М_КНИП" sheetId="21" state="visible" r:id="rId21"/>
    <sheet xmlns:r="http://schemas.openxmlformats.org/officeDocument/2006/relationships" name="М_КОВ" sheetId="22" state="visible" r:id="rId22"/>
    <sheet xmlns:r="http://schemas.openxmlformats.org/officeDocument/2006/relationships" name="М_Л76" sheetId="23" state="visible" r:id="rId23"/>
    <sheet xmlns:r="http://schemas.openxmlformats.org/officeDocument/2006/relationships" name="М_МАК" sheetId="24" state="visible" r:id="rId24"/>
    <sheet xmlns:r="http://schemas.openxmlformats.org/officeDocument/2006/relationships" name="М_МИРА" sheetId="25" state="visible" r:id="rId25"/>
    <sheet xmlns:r="http://schemas.openxmlformats.org/officeDocument/2006/relationships" name="М_МОЛ" sheetId="26" state="visible" r:id="rId26"/>
    <sheet xmlns:r="http://schemas.openxmlformats.org/officeDocument/2006/relationships" name="М_МОН" sheetId="27" state="visible" r:id="rId27"/>
    <sheet xmlns:r="http://schemas.openxmlformats.org/officeDocument/2006/relationships" name="М_Н95" sheetId="28" state="visible" r:id="rId28"/>
    <sheet xmlns:r="http://schemas.openxmlformats.org/officeDocument/2006/relationships" name="М_НИК" sheetId="29" state="visible" r:id="rId29"/>
    <sheet xmlns:r="http://schemas.openxmlformats.org/officeDocument/2006/relationships" name="М_ОЛЕ" sheetId="30" state="visible" r:id="rId30"/>
    <sheet xmlns:r="http://schemas.openxmlformats.org/officeDocument/2006/relationships" name="М_П.ЗОР" sheetId="31" state="visible" r:id="rId31"/>
    <sheet xmlns:r="http://schemas.openxmlformats.org/officeDocument/2006/relationships" name="М_ПЗ1" sheetId="32" state="visible" r:id="rId32"/>
    <sheet xmlns:r="http://schemas.openxmlformats.org/officeDocument/2006/relationships" name="М_ПЗ2" sheetId="33" state="visible" r:id="rId33"/>
    <sheet xmlns:r="http://schemas.openxmlformats.org/officeDocument/2006/relationships" name="М_ПОЛ" sheetId="34" state="visible" r:id="rId34"/>
    <sheet xmlns:r="http://schemas.openxmlformats.org/officeDocument/2006/relationships" name="М_ПОРТ" sheetId="35" state="visible" r:id="rId35"/>
    <sheet xmlns:r="http://schemas.openxmlformats.org/officeDocument/2006/relationships" name="М_РОС" sheetId="36" state="visible" r:id="rId36"/>
    <sheet xmlns:r="http://schemas.openxmlformats.org/officeDocument/2006/relationships" name="М_С1" sheetId="37" state="visible" r:id="rId37"/>
    <sheet xmlns:r="http://schemas.openxmlformats.org/officeDocument/2006/relationships" name="М_С3" sheetId="38" state="visible" r:id="rId38"/>
    <sheet xmlns:r="http://schemas.openxmlformats.org/officeDocument/2006/relationships" name="М_СНЕЖ" sheetId="39" state="visible" r:id="rId39"/>
    <sheet xmlns:r="http://schemas.openxmlformats.org/officeDocument/2006/relationships" name="М_УМБА" sheetId="40" state="visible" r:id="rId40"/>
  </sheets>
  <definedNames>
    <definedName name="_xlnm.Print_Area" localSheetId="0">'00_Главный_дашборд'!$B$2:$M$36</definedName>
    <definedName name="_xlnm.Print_Area" localSheetId="1">'01_Сеть_месяцы'!$B$2:$K$26</definedName>
    <definedName name="_xlnm.Print_Area" localSheetId="2">'02_Рейтинг_магазинов'!$B$2:$L$57</definedName>
    <definedName name="_xlnm.Print_Area" localSheetId="3">'03_Аномалии_и_решения'!$B$2:$L$38</definedName>
    <definedName name="_xlnm.Print_Area" localSheetId="4">'04_Аудит_формул'!$B$2:$K$28</definedName>
    <definedName name="_xlnm.Print_Area" localSheetId="5">'05_Методология'!$B$2:$K$23</definedName>
    <definedName name="_xlnm.Print_Area" localSheetId="6">'М_А1'!$B$2:$M$41</definedName>
    <definedName name="_xlnm.Print_Area" localSheetId="7">'М_А2'!$B$2:$M$41</definedName>
    <definedName name="_xlnm.Print_Area" localSheetId="8">'М_А3'!$B$2:$M$41</definedName>
    <definedName name="_xlnm.Print_Area" localSheetId="9">'М_ГС1'!$B$2:$M$41</definedName>
    <definedName name="_xlnm.Print_Area" localSheetId="10">'М_ГС2'!$B$2:$M$41</definedName>
    <definedName name="_xlnm.Print_Area" localSheetId="11">'М_ЗАО'!$B$2:$M$41</definedName>
    <definedName name="_xlnm.Print_Area" localSheetId="12">'М_ЗАП'!$B$2:$M$41</definedName>
    <definedName name="_xlnm.Print_Area" localSheetId="13">'М_К49'!$B$2:$M$41</definedName>
    <definedName name="_xlnm.Print_Area" localSheetId="14">'М_К80'!$B$2:$M$41</definedName>
    <definedName name="_xlnm.Print_Area" localSheetId="15">'М_КА1'!$B$2:$M$41</definedName>
    <definedName name="_xlnm.Print_Area" localSheetId="16">'М_КА2'!$B$2:$M$41</definedName>
    <definedName name="_xlnm.Print_Area" localSheetId="17">'М_КИР1'!$B$2:$M$41</definedName>
    <definedName name="_xlnm.Print_Area" localSheetId="18">'М_КИР2'!$B$2:$M$41</definedName>
    <definedName name="_xlnm.Print_Area" localSheetId="19">'М_КИР3'!$B$2:$M$41</definedName>
    <definedName name="_xlnm.Print_Area" localSheetId="20">'М_КНИП'!$B$2:$M$41</definedName>
    <definedName name="_xlnm.Print_Area" localSheetId="21">'М_КОВ'!$B$2:$M$41</definedName>
    <definedName name="_xlnm.Print_Area" localSheetId="22">'М_Л76'!$B$2:$M$41</definedName>
    <definedName name="_xlnm.Print_Area" localSheetId="23">'М_МАК'!$B$2:$M$41</definedName>
    <definedName name="_xlnm.Print_Area" localSheetId="24">'М_МИРА'!$B$2:$M$41</definedName>
    <definedName name="_xlnm.Print_Area" localSheetId="25">'М_МОЛ'!$B$2:$M$41</definedName>
    <definedName name="_xlnm.Print_Area" localSheetId="26">'М_МОН'!$B$2:$M$41</definedName>
    <definedName name="_xlnm.Print_Area" localSheetId="27">'М_Н95'!$B$2:$M$41</definedName>
    <definedName name="_xlnm.Print_Area" localSheetId="28">'М_НИК'!$B$2:$M$41</definedName>
    <definedName name="_xlnm.Print_Area" localSheetId="29">'М_ОЛЕ'!$B$2:$M$41</definedName>
    <definedName name="_xlnm.Print_Area" localSheetId="30">'М_П.ЗОР'!$B$2:$M$41</definedName>
    <definedName name="_xlnm.Print_Area" localSheetId="31">'М_ПЗ1'!$B$2:$M$41</definedName>
    <definedName name="_xlnm.Print_Area" localSheetId="32">'М_ПЗ2'!$B$2:$M$41</definedName>
    <definedName name="_xlnm.Print_Area" localSheetId="33">'М_ПОЛ'!$B$2:$M$41</definedName>
    <definedName name="_xlnm.Print_Area" localSheetId="34">'М_ПОРТ'!$B$2:$M$41</definedName>
    <definedName name="_xlnm.Print_Area" localSheetId="35">'М_РОС'!$B$2:$M$41</definedName>
    <definedName name="_xlnm.Print_Area" localSheetId="36">'М_С1'!$B$2:$M$41</definedName>
    <definedName name="_xlnm.Print_Area" localSheetId="37">'М_С3'!$B$2:$M$41</definedName>
    <definedName name="_xlnm.Print_Area" localSheetId="38">'М_СНЕЖ'!$B$2:$M$41</definedName>
    <definedName name="_xlnm.Print_Area" localSheetId="39">'М_УМБА'!$B$2:$M$41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18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252A2F"/>
      <sz val="11"/>
    </font>
    <font>
      <name val="Aptos"/>
      <i val="1"/>
      <color rgb="00667085"/>
      <sz val="10"/>
    </font>
    <font>
      <name val="Aptos"/>
      <b val="1"/>
      <color rgb="00252A2F"/>
    </font>
    <font>
      <name val="Aptos"/>
      <color rgb="00252A2F"/>
      <sz val="11"/>
    </font>
    <font>
      <name val="Aptos"/>
      <b val="1"/>
      <color rgb="00252A2F"/>
      <sz val="10"/>
    </font>
    <font>
      <name val="Aptos"/>
      <b val="1"/>
      <color rgb="000000FF"/>
      <sz val="10"/>
    </font>
    <font>
      <name val="Aptos"/>
      <b val="1"/>
      <color rgb="000000FF"/>
      <sz val="15"/>
    </font>
    <font>
      <name val="Aptos"/>
      <b val="1"/>
      <color rgb="00FFFFFF"/>
    </font>
    <font>
      <name val="Aptos"/>
      <color rgb="00252A2F"/>
      <sz val="10"/>
    </font>
    <font>
      <name val="Aptos"/>
      <color rgb="000000FF"/>
      <sz val="10"/>
    </font>
    <font>
      <name val="Aptos"/>
      <b val="1"/>
      <color rgb="003E8068"/>
    </font>
    <font>
      <name val="Aptos"/>
      <b val="1"/>
      <color rgb="00000000"/>
      <sz val="10"/>
    </font>
    <font>
      <name val="Aptos"/>
      <color rgb="00000000"/>
      <sz val="10"/>
    </font>
    <font>
      <name val="Aptos"/>
      <i val="1"/>
      <color rgb="00252A2F"/>
      <sz val="10"/>
    </font>
    <font>
      <name val="Calibri"/>
      <family val="2"/>
      <b val="1"/>
      <color theme="1"/>
      <sz val="11"/>
      <scheme val="minor"/>
    </font>
    <font>
      <name val="Aptos"/>
      <color rgb="003E8068"/>
      <sz val="10"/>
    </font>
  </fonts>
  <fills count="8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  <fill>
      <patternFill patternType="solid">
        <fgColor rgb="00F6F1E8"/>
      </patternFill>
    </fill>
    <fill>
      <patternFill patternType="solid">
        <fgColor rgb="00F9E2DF"/>
      </patternFill>
    </fill>
    <fill>
      <patternFill patternType="solid">
        <fgColor rgb="00E7F2EC"/>
      </patternFill>
    </fill>
    <fill>
      <patternFill patternType="solid">
        <fgColor rgb="00F9F1DE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top style="medium">
        <color rgb="00135B44"/>
      </top>
      <bottom style="medium">
        <color rgb="00135B44"/>
      </bottom>
    </border>
    <border>
      <top style="thin">
        <color rgb="00252A2F"/>
      </top>
      <bottom/>
    </border>
    <border>
      <top style="thin">
        <color rgb="00252A2F"/>
      </top>
      <bottom style="double">
        <color rgb="00252A2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164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1" fontId="7" fillId="0" borderId="0" applyAlignment="1" pivotButton="0" quotePrefix="0" xfId="0">
      <alignment horizontal="right" vertical="center"/>
    </xf>
    <xf numFmtId="0" fontId="12" fillId="6" borderId="0" applyAlignment="1" pivotButton="0" quotePrefix="0" xfId="0">
      <alignment vertical="top" wrapText="1"/>
    </xf>
    <xf numFmtId="0" fontId="6" fillId="0" borderId="3" applyAlignment="1" pivotButton="0" quotePrefix="0" xfId="0">
      <alignment horizontal="left" vertical="center" wrapText="1"/>
    </xf>
    <xf numFmtId="164" fontId="7" fillId="0" borderId="3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  <xf numFmtId="1" fontId="11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11" fillId="6" borderId="0" applyAlignment="1" pivotButton="0" quotePrefix="0" xfId="0">
      <alignment horizontal="right" vertical="center"/>
    </xf>
    <xf numFmtId="1" fontId="11" fillId="5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wrapText="1"/>
    </xf>
    <xf numFmtId="164" fontId="7" fillId="5" borderId="0" applyAlignment="1" pivotButton="0" quotePrefix="0" xfId="0">
      <alignment horizontal="right" vertical="center"/>
    </xf>
    <xf numFmtId="165" fontId="11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10" fillId="6" borderId="0" applyAlignment="1" pivotButton="0" quotePrefix="0" xfId="0">
      <alignment horizontal="left" vertical="center" wrapText="1"/>
    </xf>
    <xf numFmtId="1" fontId="7" fillId="6" borderId="0" applyAlignment="1" pivotButton="0" quotePrefix="0" xfId="0">
      <alignment horizontal="right" vertical="center"/>
    </xf>
    <xf numFmtId="0" fontId="12" fillId="0" borderId="0" pivotButton="0" quotePrefix="0" xfId="0"/>
    <xf numFmtId="0" fontId="10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4" fontId="13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right" vertical="center"/>
    </xf>
    <xf numFmtId="0" fontId="6" fillId="0" borderId="4" applyAlignment="1" pivotButton="0" quotePrefix="0" xfId="0">
      <alignment horizontal="left" vertical="center" wrapText="1"/>
    </xf>
    <xf numFmtId="164" fontId="13" fillId="0" borderId="4" applyAlignment="1" pivotButton="0" quotePrefix="0" xfId="0">
      <alignment horizontal="right" vertical="center"/>
    </xf>
    <xf numFmtId="164" fontId="13" fillId="0" borderId="3" applyAlignment="1" pivotButton="0" quotePrefix="0" xfId="0">
      <alignment horizontal="right" vertical="center"/>
    </xf>
    <xf numFmtId="165" fontId="13" fillId="0" borderId="3" applyAlignment="1" pivotButton="0" quotePrefix="0" xfId="0">
      <alignment horizontal="right" vertical="center"/>
    </xf>
    <xf numFmtId="0" fontId="17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9E2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'01_Сеть_месяцы'!H9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'01_Сеть_месяцы'!$C$10:$C$16</f>
            </numRef>
          </cat>
          <val>
            <numRef>
              <f>'01_Сеть_месяцы'!$H$10:$H$16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'М_А1'!H24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'М_А1'!$C$25:$C$31</f>
            </numRef>
          </cat>
          <val>
            <numRef>
              <f>'М_А1'!$H$25:$H$31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'М_А2'!H24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'М_А2'!$C$25:$C$31</f>
            </numRef>
          </cat>
          <val>
            <numRef>
              <f>'М_А2'!$H$25:$H$31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'М_А3'!H24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'М_А3'!$C$25:$C$31</f>
            </numRef>
          </cat>
          <val>
            <numRef>
              <f>'М_А3'!$H$25:$H$31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'М_ГС1'!H24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'М_ГС1'!$C$25:$C$31</f>
            </numRef>
          </cat>
          <val>
            <numRef>
              <f>'М_ГС1'!$H$25:$H$31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'М_ГС2'!H24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'М_ГС2'!$C$25:$C$31</f>
            </numRef>
          </cat>
          <val>
            <numRef>
              <f>'М_ГС2'!$H$25:$H$31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'М_ЗАО'!H24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'М_ЗАО'!$C$25:$C$31</f>
            </numRef>
          </cat>
          <val>
            <numRef>
              <f>'М_ЗАО'!$H$25:$H$31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'М_ЗАП'!H24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'М_ЗАП'!$C$25:$C$31</f>
            </numRef>
          </cat>
          <val>
            <numRef>
              <f>'М_ЗАП'!$H$25:$H$31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'М_К49'!H24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'М_К49'!$C$25:$C$31</f>
            </numRef>
          </cat>
          <val>
            <numRef>
              <f>'М_К49'!$H$25:$H$31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'М_К80'!H24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'М_К80'!$C$25:$C$31</f>
            </numRef>
          </cat>
          <val>
            <numRef>
              <f>'М_К80'!$H$25:$H$31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'М_КА1'!H24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'М_КА1'!$C$25:$C$31</f>
            </numRef>
          </cat>
          <val>
            <numRef>
              <f>'М_КА1'!$H$25:$H$31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'М_КА2'!H24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'М_КА2'!$C$25:$C$31</f>
            </numRef>
          </cat>
          <val>
            <numRef>
              <f>'М_КА2'!$H$25:$H$31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'М_КИР1'!H24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'М_КИР1'!$C$25:$C$31</f>
            </numRef>
          </cat>
          <val>
            <numRef>
              <f>'М_КИР1'!$H$25:$H$31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'М_КИР2'!H24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'М_КИР2'!$C$25:$C$31</f>
            </numRef>
          </cat>
          <val>
            <numRef>
              <f>'М_КИР2'!$H$25:$H$31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'М_КИР3'!H24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'М_КИР3'!$C$25:$C$31</f>
            </numRef>
          </cat>
          <val>
            <numRef>
              <f>'М_КИР3'!$H$25:$H$31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'М_КНИП'!H24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'М_КНИП'!$C$25:$C$31</f>
            </numRef>
          </cat>
          <val>
            <numRef>
              <f>'М_КНИП'!$H$25:$H$31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'М_КОВ'!H24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'М_КОВ'!$C$25:$C$31</f>
            </numRef>
          </cat>
          <val>
            <numRef>
              <f>'М_КОВ'!$H$25:$H$31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'М_Л76'!H24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'М_Л76'!$C$25:$C$31</f>
            </numRef>
          </cat>
          <val>
            <numRef>
              <f>'М_Л76'!$H$25:$H$31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'М_МАК'!H24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'М_МАК'!$C$25:$C$31</f>
            </numRef>
          </cat>
          <val>
            <numRef>
              <f>'М_МАК'!$H$25:$H$31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'М_МИРА'!H24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'М_МИРА'!$C$25:$C$31</f>
            </numRef>
          </cat>
          <val>
            <numRef>
              <f>'М_МИРА'!$H$25:$H$31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'М_МОЛ'!H24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'М_МОЛ'!$C$25:$C$31</f>
            </numRef>
          </cat>
          <val>
            <numRef>
              <f>'М_МОЛ'!$H$25:$H$31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'М_МОН'!H24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'М_МОН'!$C$25:$C$31</f>
            </numRef>
          </cat>
          <val>
            <numRef>
              <f>'М_МОН'!$H$25:$H$31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'М_Н95'!H24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'М_Н95'!$C$25:$C$31</f>
            </numRef>
          </cat>
          <val>
            <numRef>
              <f>'М_Н95'!$H$25:$H$31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'М_НИК'!H24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'М_НИК'!$C$25:$C$31</f>
            </numRef>
          </cat>
          <val>
            <numRef>
              <f>'М_НИК'!$H$25:$H$31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'М_ОЛЕ'!H24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'М_ОЛЕ'!$C$25:$C$31</f>
            </numRef>
          </cat>
          <val>
            <numRef>
              <f>'М_ОЛЕ'!$H$25:$H$31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'М_П.ЗОР'!H24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'М_П.ЗОР'!$C$25:$C$31</f>
            </numRef>
          </cat>
          <val>
            <numRef>
              <f>'М_П.ЗОР'!$H$25:$H$31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'М_ПЗ1'!H24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'М_ПЗ1'!$C$25:$C$31</f>
            </numRef>
          </cat>
          <val>
            <numRef>
              <f>'М_ПЗ1'!$H$25:$H$31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'М_ПЗ2'!H24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'М_ПЗ2'!$C$25:$C$31</f>
            </numRef>
          </cat>
          <val>
            <numRef>
              <f>'М_ПЗ2'!$H$25:$H$31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'М_ПОЛ'!H24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'М_ПОЛ'!$C$25:$C$31</f>
            </numRef>
          </cat>
          <val>
            <numRef>
              <f>'М_ПОЛ'!$H$25:$H$31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'М_ПОРТ'!H24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'М_ПОРТ'!$C$25:$C$31</f>
            </numRef>
          </cat>
          <val>
            <numRef>
              <f>'М_ПОРТ'!$H$25:$H$31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'М_РОС'!H24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'М_РОС'!$C$25:$C$31</f>
            </numRef>
          </cat>
          <val>
            <numRef>
              <f>'М_РОС'!$H$25:$H$31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'М_С1'!H24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'М_С1'!$C$25:$C$31</f>
            </numRef>
          </cat>
          <val>
            <numRef>
              <f>'М_С1'!$H$25:$H$31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'М_С3'!H24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'М_С3'!$C$25:$C$31</f>
            </numRef>
          </cat>
          <val>
            <numRef>
              <f>'М_С3'!$H$25:$H$31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'М_СНЕЖ'!H24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'М_СНЕЖ'!$C$25:$C$31</f>
            </numRef>
          </cat>
          <val>
            <numRef>
              <f>'М_СНЕЖ'!$H$25:$H$31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Чистая прибыль по фактическим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'М_УМБА'!H24</f>
            </strRef>
          </tx>
          <spPr>
            <a:solidFill xmlns:a="http://schemas.openxmlformats.org/drawingml/2006/main">
              <a:srgbClr val="B74835"/>
            </a:solidFill>
            <a:ln xmlns:a="http://schemas.openxmlformats.org/drawingml/2006/main">
              <a:solidFill>
                <a:srgbClr val="B74835"/>
              </a:solidFill>
              <a:prstDash val="solid"/>
            </a:ln>
          </spPr>
          <cat>
            <numRef>
              <f>'М_УМБА'!$C$25:$C$31</f>
            </numRef>
          </cat>
          <val>
            <numRef>
              <f>'М_УМБА'!$H$25:$H$31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Manus AI</author>
  </authors>
  <commentList>
    <comment ref="C14" authorId="0" shapeId="0">
      <text>
        <t>Источник: учет2026.xlsm, агрегировано по листам-магазинам с 4-го листа. Период: январь–июль 2026; РЕЗ*, АЛА и С2 исключены.</t>
      </text>
    </comment>
    <comment ref="F14" authorId="0" shapeId="0">
      <text>
        <t>Источник: учет2026.xlsm, агрегировано по листам-магазинам с 4-го листа. Период: январь–июль 2026; РЕЗ*, АЛА и С2 исключены.</t>
      </text>
    </comment>
    <comment ref="I14" authorId="0" shapeId="0">
      <text>
        <t>Источник: учет2026.xlsm, агрегировано по листам-магазинам с 4-го листа. Период: январь–июль 2026; РЕЗ*, АЛА и С2 исключены.</t>
      </text>
    </comment>
    <comment ref="C17" authorId="0" shapeId="0">
      <text>
        <t>Источник: учет2026.xlsm, агрегировано по листам-магазинам с 4-го листа. Период: январь–июль 2026; РЕЗ*, АЛА и С2 исключены.</t>
      </text>
    </comment>
    <comment ref="F17" authorId="0" shapeId="0">
      <text>
        <t>Источник: учет2026.xlsm, агрегировано по листам-магазинам с 4-го листа. Период: январь–июль 2026; РЕЗ*, АЛА и С2 исключены.</t>
      </text>
    </comment>
    <comment ref="I17" authorId="0" shapeId="0">
      <text>
        <t>Источник: учет2026.xlsm, агрегировано по листам-магазинам с 4-го листа. Период: январь–июль 2026; РЕЗ*, АЛА и С2 исключены.</t>
      </text>
    </comment>
    <comment ref="E23" authorId="0" shapeId="0">
      <text>
        <t>Источник: учет2026.xlsm, агрегировано по месячным блокам листа магазина. Период: январь–август 2026.</t>
      </text>
    </comment>
    <comment ref="F23" authorId="0" shapeId="0">
      <text>
        <t>Источник: учет2026.xlsm, агрегировано по месячным блокам листа магазина. Период: январь–август 2026.</t>
      </text>
    </comment>
    <comment ref="G23" authorId="0" shapeId="0">
      <text>
        <t>Источник: учет2026.xlsm, агрегировано по месячным блокам листа магазина. Период: январь–август 2026.</t>
      </text>
    </comment>
    <comment ref="K23" authorId="0" shapeId="0">
      <text>
        <t>Источник: учет2026.xlsm, агрегировано по месячным блокам листа магазина. Период: январь–август 2026.</t>
      </text>
    </comment>
    <comment ref="L23" authorId="0" shapeId="0">
      <text>
        <t>Источник: учет2026.xlsm, агрегировано по месячным блокам листа магазина. Период: январь–август 2026.</t>
      </text>
    </comment>
    <comment ref="M23" authorId="0" shapeId="0">
      <text>
        <t>Источник: учет2026.xlsm, агрегировано по месячным блокам листа магазина. Период: январь–август 2026.</t>
      </text>
    </comment>
    <comment ref="E24" authorId="0" shapeId="0">
      <text>
        <t>Источник: учет2026.xlsm, агрегировано по месячным блокам листа магазина. Период: январь–август 2026.</t>
      </text>
    </comment>
    <comment ref="F24" authorId="0" shapeId="0">
      <text>
        <t>Источник: учет2026.xlsm, агрегировано по месячным блокам листа магазина. Период: январь–август 2026.</t>
      </text>
    </comment>
    <comment ref="G24" authorId="0" shapeId="0">
      <text>
        <t>Источник: учет2026.xlsm, агрегировано по месячным блокам листа магазина. Период: январь–август 2026.</t>
      </text>
    </comment>
    <comment ref="K24" authorId="0" shapeId="0">
      <text>
        <t>Источник: учет2026.xlsm, агрегировано по месячным блокам листа магазина. Период: январь–август 2026.</t>
      </text>
    </comment>
    <comment ref="L24" authorId="0" shapeId="0">
      <text>
        <t>Источник: учет2026.xlsm, агрегировано по месячным блокам листа магазина. Период: январь–август 2026.</t>
      </text>
    </comment>
    <comment ref="M24" authorId="0" shapeId="0">
      <text>
        <t>Источник: учет2026.xlsm, агрегировано по месячным блокам листа магазина. Период: январь–август 2026.</t>
      </text>
    </comment>
    <comment ref="E25" authorId="0" shapeId="0">
      <text>
        <t>Источник: учет2026.xlsm, агрегировано по месячным блокам листа магазина. Период: январь–август 2026.</t>
      </text>
    </comment>
    <comment ref="F25" authorId="0" shapeId="0">
      <text>
        <t>Источник: учет2026.xlsm, агрегировано по месячным блокам листа магазина. Период: январь–август 2026.</t>
      </text>
    </comment>
    <comment ref="G25" authorId="0" shapeId="0">
      <text>
        <t>Источник: учет2026.xlsm, агрегировано по месячным блокам листа магазина. Период: январь–август 2026.</t>
      </text>
    </comment>
    <comment ref="K25" authorId="0" shapeId="0">
      <text>
        <t>Источник: учет2026.xlsm, агрегировано по месячным блокам листа магазина. Период: январь–август 2026.</t>
      </text>
    </comment>
    <comment ref="L25" authorId="0" shapeId="0">
      <text>
        <t>Источник: учет2026.xlsm, агрегировано по месячным блокам листа магазина. Период: январь–август 2026.</t>
      </text>
    </comment>
    <comment ref="M25" authorId="0" shapeId="0">
      <text>
        <t>Источник: учет2026.xlsm, агрегировано по месячным блокам листа магазина. Период: январь–август 2026.</t>
      </text>
    </comment>
    <comment ref="D29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0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1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2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  <comment ref="D33" authorId="0" shapeId="0">
      <text>
        <t>Источник: автоматизированный аудит формул учет2026.xlsm и независимый пересчет совместимым табличным движком.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D10" authorId="0" shapeId="0">
      <text>
        <t>Источник: учет2026.xlsm, сумма по всем листам-магазинам, месячный итог. Период: 2026.</t>
      </text>
    </comment>
    <comment ref="E10" authorId="0" shapeId="0">
      <text>
        <t>Источник: учет2026.xlsm, сумма по всем листам-магазинам, месячный итог. Период: 2026.</t>
      </text>
    </comment>
    <comment ref="G10" authorId="0" shapeId="0">
      <text>
        <t>Источник: учет2026.xlsm, сумма по всем листам-магазинам, месячный итог. Период: 2026.</t>
      </text>
    </comment>
    <comment ref="H10" authorId="0" shapeId="0">
      <text>
        <t>Источник: учет2026.xlsm, сумма по всем листам-магазинам, месячный итог. Период: 2026.</t>
      </text>
    </comment>
    <comment ref="D11" authorId="0" shapeId="0">
      <text>
        <t>Источник: учет2026.xlsm, сумма по всем листам-магазинам, месячный итог. Период: 2026.</t>
      </text>
    </comment>
    <comment ref="E11" authorId="0" shapeId="0">
      <text>
        <t>Источник: учет2026.xlsm, сумма по всем листам-магазинам, месячный итог. Период: 2026.</t>
      </text>
    </comment>
    <comment ref="G11" authorId="0" shapeId="0">
      <text>
        <t>Источник: учет2026.xlsm, сумма по всем листам-магазинам, месячный итог. Период: 2026.</t>
      </text>
    </comment>
    <comment ref="H11" authorId="0" shapeId="0">
      <text>
        <t>Источник: учет2026.xlsm, сумма по всем листам-магазинам, месячный итог. Период: 2026.</t>
      </text>
    </comment>
    <comment ref="D12" authorId="0" shapeId="0">
      <text>
        <t>Источник: учет2026.xlsm, сумма по всем листам-магазинам, месячный итог. Период: 2026.</t>
      </text>
    </comment>
    <comment ref="E12" authorId="0" shapeId="0">
      <text>
        <t>Источник: учет2026.xlsm, сумма по всем листам-магазинам, месячный итог. Период: 2026.</t>
      </text>
    </comment>
    <comment ref="G12" authorId="0" shapeId="0">
      <text>
        <t>Источник: учет2026.xlsm, сумма по всем листам-магазинам, месячный итог. Период: 2026.</t>
      </text>
    </comment>
    <comment ref="H12" authorId="0" shapeId="0">
      <text>
        <t>Источник: учет2026.xlsm, сумма по всем листам-магазинам, месячный итог. Период: 2026.</t>
      </text>
    </comment>
    <comment ref="D13" authorId="0" shapeId="0">
      <text>
        <t>Источник: учет2026.xlsm, сумма по всем листам-магазинам, месячный итог. Период: 2026.</t>
      </text>
    </comment>
    <comment ref="E13" authorId="0" shapeId="0">
      <text>
        <t>Источник: учет2026.xlsm, сумма по всем листам-магазинам, месячный итог. Период: 2026.</t>
      </text>
    </comment>
    <comment ref="G13" authorId="0" shapeId="0">
      <text>
        <t>Источник: учет2026.xlsm, сумма по всем листам-магазинам, месячный итог. Период: 2026.</t>
      </text>
    </comment>
    <comment ref="H13" authorId="0" shapeId="0">
      <text>
        <t>Источник: учет2026.xlsm, сумма по всем листам-магазинам, месячный итог. Период: 2026.</t>
      </text>
    </comment>
    <comment ref="D14" authorId="0" shapeId="0">
      <text>
        <t>Источник: учет2026.xlsm, сумма по всем листам-магазинам, месячный итог. Период: 2026.</t>
      </text>
    </comment>
    <comment ref="E14" authorId="0" shapeId="0">
      <text>
        <t>Источник: учет2026.xlsm, сумма по всем листам-магазинам, месячный итог. Период: 2026.</t>
      </text>
    </comment>
    <comment ref="G14" authorId="0" shapeId="0">
      <text>
        <t>Источник: учет2026.xlsm, сумма по всем листам-магазинам, месячный итог. Период: 2026.</t>
      </text>
    </comment>
    <comment ref="H14" authorId="0" shapeId="0">
      <text>
        <t>Источник: учет2026.xlsm, сумма по всем листам-магазинам, месячный итог. Период: 2026.</t>
      </text>
    </comment>
    <comment ref="D15" authorId="0" shapeId="0">
      <text>
        <t>Источник: учет2026.xlsm, сумма по всем листам-магазинам, месячный итог. Период: 2026.</t>
      </text>
    </comment>
    <comment ref="E15" authorId="0" shapeId="0">
      <text>
        <t>Источник: учет2026.xlsm, сумма по всем листам-магазинам, месячный итог. Период: 2026.</t>
      </text>
    </comment>
    <comment ref="G15" authorId="0" shapeId="0">
      <text>
        <t>Источник: учет2026.xlsm, сумма по всем листам-магазинам, месячный итог. Период: 2026.</t>
      </text>
    </comment>
    <comment ref="H15" authorId="0" shapeId="0">
      <text>
        <t>Источник: учет2026.xlsm, сумма по всем листам-магазинам, месячный итог. Период: 2026.</t>
      </text>
    </comment>
    <comment ref="D16" authorId="0" shapeId="0">
      <text>
        <t>Источник: учет2026.xlsm, сумма по всем листам-магазинам, месячный итог. Период: 2026.</t>
      </text>
    </comment>
    <comment ref="E16" authorId="0" shapeId="0">
      <text>
        <t>Источник: учет2026.xlsm, сумма по всем листам-магазинам, месячный итог. Период: 2026.</t>
      </text>
    </comment>
    <comment ref="G16" authorId="0" shapeId="0">
      <text>
        <t>Источник: учет2026.xlsm, сумма по всем листам-магазинам, месячный итог. Период: 2026.</t>
      </text>
    </comment>
    <comment ref="H16" authorId="0" shapeId="0">
      <text>
        <t>Источник: учет2026.xlsm, сумма по всем листам-магазинам, месячный итог. Период: 2026.</t>
      </text>
    </comment>
  </commentList>
</comments>
</file>

<file path=xl/comments/comment3.xml><?xml version="1.0" encoding="utf-8"?>
<comments xmlns="http://schemas.openxmlformats.org/spreadsheetml/2006/main">
  <authors>
    <author>Manus AI</author>
  </authors>
  <commentList>
    <comment ref="E10" authorId="0" shapeId="0">
      <text>
        <t>Источник: учет2026.xlsm, агрегация месячных блоков листа магазина. Период: январь–август 2026.</t>
      </text>
    </comment>
    <comment ref="F10" authorId="0" shapeId="0">
      <text>
        <t>Источник: учет2026.xlsm, агрегация месячных блоков листа магазина. Период: январь–август 2026.</t>
      </text>
    </comment>
    <comment ref="G10" authorId="0" shapeId="0">
      <text>
        <t>Источник: учет2026.xlsm, агрегация месячных блоков листа магазина. Период: январь–август 2026.</t>
      </text>
    </comment>
    <comment ref="H10" authorId="0" shapeId="0">
      <text>
        <t>Источник: учет2026.xlsm, агрегация месячных блоков листа магазина. Период: январь–август 2026.</t>
      </text>
    </comment>
    <comment ref="E11" authorId="0" shapeId="0">
      <text>
        <t>Источник: учет2026.xlsm, агрегация месячных блоков листа магазина. Период: январь–август 2026.</t>
      </text>
    </comment>
    <comment ref="F11" authorId="0" shapeId="0">
      <text>
        <t>Источник: учет2026.xlsm, агрегация месячных блоков листа магазина. Период: январь–август 2026.</t>
      </text>
    </comment>
    <comment ref="G11" authorId="0" shapeId="0">
      <text>
        <t>Источник: учет2026.xlsm, агрегация месячных блоков листа магазина. Период: январь–август 2026.</t>
      </text>
    </comment>
    <comment ref="H11" authorId="0" shapeId="0">
      <text>
        <t>Источник: учет2026.xlsm, агрегация месячных блоков листа магазина. Период: январь–август 2026.</t>
      </text>
    </comment>
    <comment ref="E12" authorId="0" shapeId="0">
      <text>
        <t>Источник: учет2026.xlsm, агрегация месячных блоков листа магазина. Период: январь–август 2026.</t>
      </text>
    </comment>
    <comment ref="F12" authorId="0" shapeId="0">
      <text>
        <t>Источник: учет2026.xlsm, агрегация месячных блоков листа магазина. Период: январь–август 2026.</t>
      </text>
    </comment>
    <comment ref="G12" authorId="0" shapeId="0">
      <text>
        <t>Источник: учет2026.xlsm, агрегация месячных блоков листа магазина. Период: январь–август 2026.</t>
      </text>
    </comment>
    <comment ref="H12" authorId="0" shapeId="0">
      <text>
        <t>Источник: учет2026.xlsm, агрегация месячных блоков листа магазина. Период: январь–август 2026.</t>
      </text>
    </comment>
    <comment ref="E13" authorId="0" shapeId="0">
      <text>
        <t>Источник: учет2026.xlsm, агрегация месячных блоков листа магазина. Период: январь–август 2026.</t>
      </text>
    </comment>
    <comment ref="F13" authorId="0" shapeId="0">
      <text>
        <t>Источник: учет2026.xlsm, агрегация месячных блоков листа магазина. Период: январь–август 2026.</t>
      </text>
    </comment>
    <comment ref="G13" authorId="0" shapeId="0">
      <text>
        <t>Источник: учет2026.xlsm, агрегация месячных блоков листа магазина. Период: январь–август 2026.</t>
      </text>
    </comment>
    <comment ref="H13" authorId="0" shapeId="0">
      <text>
        <t>Источник: учет2026.xlsm, агрегация месячных блоков листа магазина. Период: январь–август 2026.</t>
      </text>
    </comment>
    <comment ref="E14" authorId="0" shapeId="0">
      <text>
        <t>Источник: учет2026.xlsm, агрегация месячных блоков листа магазина. Период: январь–август 2026.</t>
      </text>
    </comment>
    <comment ref="F14" authorId="0" shapeId="0">
      <text>
        <t>Источник: учет2026.xlsm, агрегация месячных блоков листа магазина. Период: январь–август 2026.</t>
      </text>
    </comment>
    <comment ref="G14" authorId="0" shapeId="0">
      <text>
        <t>Источник: учет2026.xlsm, агрегация месячных блоков листа магазина. Период: январь–август 2026.</t>
      </text>
    </comment>
    <comment ref="H14" authorId="0" shapeId="0">
      <text>
        <t>Источник: учет2026.xlsm, агрегация месячных блоков листа магазина. Период: январь–август 2026.</t>
      </text>
    </comment>
    <comment ref="E15" authorId="0" shapeId="0">
      <text>
        <t>Источник: учет2026.xlsm, агрегация месячных блоков листа магазина. Период: январь–август 2026.</t>
      </text>
    </comment>
    <comment ref="F15" authorId="0" shapeId="0">
      <text>
        <t>Источник: учет2026.xlsm, агрегация месячных блоков листа магазина. Период: январь–август 2026.</t>
      </text>
    </comment>
    <comment ref="G15" authorId="0" shapeId="0">
      <text>
        <t>Источник: учет2026.xlsm, агрегация месячных блоков листа магазина. Период: январь–август 2026.</t>
      </text>
    </comment>
    <comment ref="H15" authorId="0" shapeId="0">
      <text>
        <t>Источник: учет2026.xlsm, агрегация месячных блоков листа магазина. Период: январь–август 2026.</t>
      </text>
    </comment>
    <comment ref="E16" authorId="0" shapeId="0">
      <text>
        <t>Источник: учет2026.xlsm, агрегация месячных блоков листа магазина. Период: январь–август 2026.</t>
      </text>
    </comment>
    <comment ref="F16" authorId="0" shapeId="0">
      <text>
        <t>Источник: учет2026.xlsm, агрегация месячных блоков листа магазина. Период: январь–август 2026.</t>
      </text>
    </comment>
    <comment ref="G16" authorId="0" shapeId="0">
      <text>
        <t>Источник: учет2026.xlsm, агрегация месячных блоков листа магазина. Период: январь–август 2026.</t>
      </text>
    </comment>
    <comment ref="H16" authorId="0" shapeId="0">
      <text>
        <t>Источник: учет2026.xlsm, агрегация месячных блоков листа магазина. Период: январь–август 2026.</t>
      </text>
    </comment>
    <comment ref="E17" authorId="0" shapeId="0">
      <text>
        <t>Источник: учет2026.xlsm, агрегация месячных блоков листа магазина. Период: январь–август 2026.</t>
      </text>
    </comment>
    <comment ref="F17" authorId="0" shapeId="0">
      <text>
        <t>Источник: учет2026.xlsm, агрегация месячных блоков листа магазина. Период: январь–август 2026.</t>
      </text>
    </comment>
    <comment ref="G17" authorId="0" shapeId="0">
      <text>
        <t>Источник: учет2026.xlsm, агрегация месячных блоков листа магазина. Период: январь–август 2026.</t>
      </text>
    </comment>
    <comment ref="H17" authorId="0" shapeId="0">
      <text>
        <t>Источник: учет2026.xlsm, агрегация месячных блоков листа магазина. Период: январь–август 2026.</t>
      </text>
    </comment>
    <comment ref="E18" authorId="0" shapeId="0">
      <text>
        <t>Источник: учет2026.xlsm, агрегация месячных блоков листа магазина. Период: январь–август 2026.</t>
      </text>
    </comment>
    <comment ref="F18" authorId="0" shapeId="0">
      <text>
        <t>Источник: учет2026.xlsm, агрегация месячных блоков листа магазина. Период: январь–август 2026.</t>
      </text>
    </comment>
    <comment ref="G18" authorId="0" shapeId="0">
      <text>
        <t>Источник: учет2026.xlsm, агрегация месячных блоков листа магазина. Период: январь–август 2026.</t>
      </text>
    </comment>
    <comment ref="H18" authorId="0" shapeId="0">
      <text>
        <t>Источник: учет2026.xlsm, агрегация месячных блоков листа магазина. Период: январь–август 2026.</t>
      </text>
    </comment>
    <comment ref="E19" authorId="0" shapeId="0">
      <text>
        <t>Источник: учет2026.xlsm, агрегация месячных блоков листа магазина. Период: январь–август 2026.</t>
      </text>
    </comment>
    <comment ref="F19" authorId="0" shapeId="0">
      <text>
        <t>Источник: учет2026.xlsm, агрегация месячных блоков листа магазина. Период: январь–август 2026.</t>
      </text>
    </comment>
    <comment ref="G19" authorId="0" shapeId="0">
      <text>
        <t>Источник: учет2026.xlsm, агрегация месячных блоков листа магазина. Период: январь–август 2026.</t>
      </text>
    </comment>
    <comment ref="H19" authorId="0" shapeId="0">
      <text>
        <t>Источник: учет2026.xlsm, агрегация месячных блоков листа магазина. Период: январь–август 2026.</t>
      </text>
    </comment>
    <comment ref="E20" authorId="0" shapeId="0">
      <text>
        <t>Источник: учет2026.xlsm, агрегация месячных блоков листа магазина. Период: январь–август 2026.</t>
      </text>
    </comment>
    <comment ref="F20" authorId="0" shapeId="0">
      <text>
        <t>Источник: учет2026.xlsm, агрегация месячных блоков листа магазина. Период: январь–август 2026.</t>
      </text>
    </comment>
    <comment ref="G20" authorId="0" shapeId="0">
      <text>
        <t>Источник: учет2026.xlsm, агрегация месячных блоков листа магазина. Период: январь–август 2026.</t>
      </text>
    </comment>
    <comment ref="H20" authorId="0" shapeId="0">
      <text>
        <t>Источник: учет2026.xlsm, агрегация месячных блоков листа магазина. Период: январь–август 2026.</t>
      </text>
    </comment>
    <comment ref="E21" authorId="0" shapeId="0">
      <text>
        <t>Источник: учет2026.xlsm, агрегация месячных блоков листа магазина. Период: январь–август 2026.</t>
      </text>
    </comment>
    <comment ref="F21" authorId="0" shapeId="0">
      <text>
        <t>Источник: учет2026.xlsm, агрегация месячных блоков листа магазина. Период: январь–август 2026.</t>
      </text>
    </comment>
    <comment ref="G21" authorId="0" shapeId="0">
      <text>
        <t>Источник: учет2026.xlsm, агрегация месячных блоков листа магазина. Период: январь–август 2026.</t>
      </text>
    </comment>
    <comment ref="H21" authorId="0" shapeId="0">
      <text>
        <t>Источник: учет2026.xlsm, агрегация месячных блоков листа магазина. Период: январь–август 2026.</t>
      </text>
    </comment>
    <comment ref="E22" authorId="0" shapeId="0">
      <text>
        <t>Источник: учет2026.xlsm, агрегация месячных блоков листа магазина. Период: январь–август 2026.</t>
      </text>
    </comment>
    <comment ref="F22" authorId="0" shapeId="0">
      <text>
        <t>Источник: учет2026.xlsm, агрегация месячных блоков листа магазина. Период: январь–август 2026.</t>
      </text>
    </comment>
    <comment ref="G22" authorId="0" shapeId="0">
      <text>
        <t>Источник: учет2026.xlsm, агрегация месячных блоков листа магазина. Период: январь–август 2026.</t>
      </text>
    </comment>
    <comment ref="H22" authorId="0" shapeId="0">
      <text>
        <t>Источник: учет2026.xlsm, агрегация месячных блоков листа магазина. Период: январь–август 2026.</t>
      </text>
    </comment>
    <comment ref="E23" authorId="0" shapeId="0">
      <text>
        <t>Источник: учет2026.xlsm, агрегация месячных блоков листа магазина. Период: январь–август 2026.</t>
      </text>
    </comment>
    <comment ref="F23" authorId="0" shapeId="0">
      <text>
        <t>Источник: учет2026.xlsm, агрегация месячных блоков листа магазина. Период: январь–август 2026.</t>
      </text>
    </comment>
    <comment ref="G23" authorId="0" shapeId="0">
      <text>
        <t>Источник: учет2026.xlsm, агрегация месячных блоков листа магазина. Период: январь–август 2026.</t>
      </text>
    </comment>
    <comment ref="H23" authorId="0" shapeId="0">
      <text>
        <t>Источник: учет2026.xlsm, агрегация месячных блоков листа магазина. Период: январь–август 2026.</t>
      </text>
    </comment>
    <comment ref="E24" authorId="0" shapeId="0">
      <text>
        <t>Источник: учет2026.xlsm, агрегация месячных блоков листа магазина. Период: январь–август 2026.</t>
      </text>
    </comment>
    <comment ref="F24" authorId="0" shapeId="0">
      <text>
        <t>Источник: учет2026.xlsm, агрегация месячных блоков листа магазина. Период: январь–август 2026.</t>
      </text>
    </comment>
    <comment ref="G24" authorId="0" shapeId="0">
      <text>
        <t>Источник: учет2026.xlsm, агрегация месячных блоков листа магазина. Период: январь–август 2026.</t>
      </text>
    </comment>
    <comment ref="H24" authorId="0" shapeId="0">
      <text>
        <t>Источник: учет2026.xlsm, агрегация месячных блоков листа магазина. Период: январь–август 2026.</t>
      </text>
    </comment>
    <comment ref="E25" authorId="0" shapeId="0">
      <text>
        <t>Источник: учет2026.xlsm, агрегация месячных блоков листа магазина. Период: январь–август 2026.</t>
      </text>
    </comment>
    <comment ref="F25" authorId="0" shapeId="0">
      <text>
        <t>Источник: учет2026.xlsm, агрегация месячных блоков листа магазина. Период: январь–август 2026.</t>
      </text>
    </comment>
    <comment ref="G25" authorId="0" shapeId="0">
      <text>
        <t>Источник: учет2026.xlsm, агрегация месячных блоков листа магазина. Период: январь–август 2026.</t>
      </text>
    </comment>
    <comment ref="H25" authorId="0" shapeId="0">
      <text>
        <t>Источник: учет2026.xlsm, агрегация месячных блоков листа магазина. Период: январь–август 2026.</t>
      </text>
    </comment>
    <comment ref="E26" authorId="0" shapeId="0">
      <text>
        <t>Источник: учет2026.xlsm, агрегация месячных блоков листа магазина. Период: январь–август 2026.</t>
      </text>
    </comment>
    <comment ref="F26" authorId="0" shapeId="0">
      <text>
        <t>Источник: учет2026.xlsm, агрегация месячных блоков листа магазина. Период: январь–август 2026.</t>
      </text>
    </comment>
    <comment ref="G26" authorId="0" shapeId="0">
      <text>
        <t>Источник: учет2026.xlsm, агрегация месячных блоков листа магазина. Период: январь–август 2026.</t>
      </text>
    </comment>
    <comment ref="H26" authorId="0" shapeId="0">
      <text>
        <t>Источник: учет2026.xlsm, агрегация месячных блоков листа магазина. Период: январь–август 2026.</t>
      </text>
    </comment>
    <comment ref="E27" authorId="0" shapeId="0">
      <text>
        <t>Источник: учет2026.xlsm, агрегация месячных блоков листа магазина. Период: январь–август 2026.</t>
      </text>
    </comment>
    <comment ref="F27" authorId="0" shapeId="0">
      <text>
        <t>Источник: учет2026.xlsm, агрегация месячных блоков листа магазина. Период: январь–август 2026.</t>
      </text>
    </comment>
    <comment ref="G27" authorId="0" shapeId="0">
      <text>
        <t>Источник: учет2026.xlsm, агрегация месячных блоков листа магазина. Период: январь–август 2026.</t>
      </text>
    </comment>
    <comment ref="H27" authorId="0" shapeId="0">
      <text>
        <t>Источник: учет2026.xlsm, агрегация месячных блоков листа магазина. Период: январь–август 2026.</t>
      </text>
    </comment>
    <comment ref="E28" authorId="0" shapeId="0">
      <text>
        <t>Источник: учет2026.xlsm, агрегация месячных блоков листа магазина. Период: январь–август 2026.</t>
      </text>
    </comment>
    <comment ref="F28" authorId="0" shapeId="0">
      <text>
        <t>Источник: учет2026.xlsm, агрегация месячных блоков листа магазина. Период: январь–август 2026.</t>
      </text>
    </comment>
    <comment ref="G28" authorId="0" shapeId="0">
      <text>
        <t>Источник: учет2026.xlsm, агрегация месячных блоков листа магазина. Период: январь–август 2026.</t>
      </text>
    </comment>
    <comment ref="H28" authorId="0" shapeId="0">
      <text>
        <t>Источник: учет2026.xlsm, агрегация месячных блоков листа магазина. Период: январь–август 2026.</t>
      </text>
    </comment>
    <comment ref="E29" authorId="0" shapeId="0">
      <text>
        <t>Источник: учет2026.xlsm, агрегация месячных блоков листа магазина. Период: январь–август 2026.</t>
      </text>
    </comment>
    <comment ref="F29" authorId="0" shapeId="0">
      <text>
        <t>Источник: учет2026.xlsm, агрегация месячных блоков листа магазина. Период: январь–август 2026.</t>
      </text>
    </comment>
    <comment ref="G29" authorId="0" shapeId="0">
      <text>
        <t>Источник: учет2026.xlsm, агрегация месячных блоков листа магазина. Период: январь–август 2026.</t>
      </text>
    </comment>
    <comment ref="H29" authorId="0" shapeId="0">
      <text>
        <t>Источник: учет2026.xlsm, агрегация месячных блоков листа магазина. Период: январь–август 2026.</t>
      </text>
    </comment>
    <comment ref="E30" authorId="0" shapeId="0">
      <text>
        <t>Источник: учет2026.xlsm, агрегация месячных блоков листа магазина. Период: январь–август 2026.</t>
      </text>
    </comment>
    <comment ref="F30" authorId="0" shapeId="0">
      <text>
        <t>Источник: учет2026.xlsm, агрегация месячных блоков листа магазина. Период: январь–август 2026.</t>
      </text>
    </comment>
    <comment ref="G30" authorId="0" shapeId="0">
      <text>
        <t>Источник: учет2026.xlsm, агрегация месячных блоков листа магазина. Период: январь–август 2026.</t>
      </text>
    </comment>
    <comment ref="H30" authorId="0" shapeId="0">
      <text>
        <t>Источник: учет2026.xlsm, агрегация месячных блоков листа магазина. Период: январь–август 2026.</t>
      </text>
    </comment>
    <comment ref="E31" authorId="0" shapeId="0">
      <text>
        <t>Источник: учет2026.xlsm, агрегация месячных блоков листа магазина. Период: январь–август 2026.</t>
      </text>
    </comment>
    <comment ref="F31" authorId="0" shapeId="0">
      <text>
        <t>Источник: учет2026.xlsm, агрегация месячных блоков листа магазина. Период: январь–август 2026.</t>
      </text>
    </comment>
    <comment ref="G31" authorId="0" shapeId="0">
      <text>
        <t>Источник: учет2026.xlsm, агрегация месячных блоков листа магазина. Период: январь–август 2026.</t>
      </text>
    </comment>
    <comment ref="H31" authorId="0" shapeId="0">
      <text>
        <t>Источник: учет2026.xlsm, агрегация месячных блоков листа магазина. Период: январь–август 2026.</t>
      </text>
    </comment>
    <comment ref="E32" authorId="0" shapeId="0">
      <text>
        <t>Источник: учет2026.xlsm, агрегация месячных блоков листа магазина. Период: январь–август 2026.</t>
      </text>
    </comment>
    <comment ref="F32" authorId="0" shapeId="0">
      <text>
        <t>Источник: учет2026.xlsm, агрегация месячных блоков листа магазина. Период: январь–август 2026.</t>
      </text>
    </comment>
    <comment ref="G32" authorId="0" shapeId="0">
      <text>
        <t>Источник: учет2026.xlsm, агрегация месячных блоков листа магазина. Период: январь–август 2026.</t>
      </text>
    </comment>
    <comment ref="H32" authorId="0" shapeId="0">
      <text>
        <t>Источник: учет2026.xlsm, агрегация месячных блоков листа магазина. Период: январь–август 2026.</t>
      </text>
    </comment>
    <comment ref="E33" authorId="0" shapeId="0">
      <text>
        <t>Источник: учет2026.xlsm, агрегация месячных блоков листа магазина. Период: январь–август 2026.</t>
      </text>
    </comment>
    <comment ref="F33" authorId="0" shapeId="0">
      <text>
        <t>Источник: учет2026.xlsm, агрегация месячных блоков листа магазина. Период: январь–август 2026.</t>
      </text>
    </comment>
    <comment ref="G33" authorId="0" shapeId="0">
      <text>
        <t>Источник: учет2026.xlsm, агрегация месячных блоков листа магазина. Период: январь–август 2026.</t>
      </text>
    </comment>
    <comment ref="H33" authorId="0" shapeId="0">
      <text>
        <t>Источник: учет2026.xlsm, агрегация месячных блоков листа магазина. Период: январь–август 2026.</t>
      </text>
    </comment>
    <comment ref="E34" authorId="0" shapeId="0">
      <text>
        <t>Источник: учет2026.xlsm, агрегация месячных блоков листа магазина. Период: январь–август 2026.</t>
      </text>
    </comment>
    <comment ref="F34" authorId="0" shapeId="0">
      <text>
        <t>Источник: учет2026.xlsm, агрегация месячных блоков листа магазина. Период: январь–август 2026.</t>
      </text>
    </comment>
    <comment ref="G34" authorId="0" shapeId="0">
      <text>
        <t>Источник: учет2026.xlsm, агрегация месячных блоков листа магазина. Период: январь–август 2026.</t>
      </text>
    </comment>
    <comment ref="H34" authorId="0" shapeId="0">
      <text>
        <t>Источник: учет2026.xlsm, агрегация месячных блоков листа магазина. Период: январь–август 2026.</t>
      </text>
    </comment>
    <comment ref="E35" authorId="0" shapeId="0">
      <text>
        <t>Источник: учет2026.xlsm, агрегация месячных блоков листа магазина. Период: январь–август 2026.</t>
      </text>
    </comment>
    <comment ref="F35" authorId="0" shapeId="0">
      <text>
        <t>Источник: учет2026.xlsm, агрегация месячных блоков листа магазина. Период: январь–август 2026.</t>
      </text>
    </comment>
    <comment ref="G35" authorId="0" shapeId="0">
      <text>
        <t>Источник: учет2026.xlsm, агрегация месячных блоков листа магазина. Период: январь–август 2026.</t>
      </text>
    </comment>
    <comment ref="H35" authorId="0" shapeId="0">
      <text>
        <t>Источник: учет2026.xlsm, агрегация месячных блоков листа магазина. Период: январь–август 2026.</t>
      </text>
    </comment>
    <comment ref="E36" authorId="0" shapeId="0">
      <text>
        <t>Источник: учет2026.xlsm, агрегация месячных блоков листа магазина. Период: январь–август 2026.</t>
      </text>
    </comment>
    <comment ref="F36" authorId="0" shapeId="0">
      <text>
        <t>Источник: учет2026.xlsm, агрегация месячных блоков листа магазина. Период: январь–август 2026.</t>
      </text>
    </comment>
    <comment ref="G36" authorId="0" shapeId="0">
      <text>
        <t>Источник: учет2026.xlsm, агрегация месячных блоков листа магазина. Период: январь–август 2026.</t>
      </text>
    </comment>
    <comment ref="H36" authorId="0" shapeId="0">
      <text>
        <t>Источник: учет2026.xlsm, агрегация месячных блоков листа магазина. Период: январь–август 2026.</t>
      </text>
    </comment>
    <comment ref="E37" authorId="0" shapeId="0">
      <text>
        <t>Источник: учет2026.xlsm, агрегация месячных блоков листа магазина. Период: январь–август 2026.</t>
      </text>
    </comment>
    <comment ref="F37" authorId="0" shapeId="0">
      <text>
        <t>Источник: учет2026.xlsm, агрегация месячных блоков листа магазина. Период: январь–август 2026.</t>
      </text>
    </comment>
    <comment ref="G37" authorId="0" shapeId="0">
      <text>
        <t>Источник: учет2026.xlsm, агрегация месячных блоков листа магазина. Период: январь–август 2026.</t>
      </text>
    </comment>
    <comment ref="H37" authorId="0" shapeId="0">
      <text>
        <t>Источник: учет2026.xlsm, агрегация месячных блоков листа магазина. Период: январь–август 2026.</t>
      </text>
    </comment>
    <comment ref="E38" authorId="0" shapeId="0">
      <text>
        <t>Источник: учет2026.xlsm, агрегация месячных блоков листа магазина. Период: январь–август 2026.</t>
      </text>
    </comment>
    <comment ref="F38" authorId="0" shapeId="0">
      <text>
        <t>Источник: учет2026.xlsm, агрегация месячных блоков листа магазина. Период: январь–август 2026.</t>
      </text>
    </comment>
    <comment ref="G38" authorId="0" shapeId="0">
      <text>
        <t>Источник: учет2026.xlsm, агрегация месячных блоков листа магазина. Период: январь–август 2026.</t>
      </text>
    </comment>
    <comment ref="H38" authorId="0" shapeId="0">
      <text>
        <t>Источник: учет2026.xlsm, агрегация месячных блоков листа магазина. Период: январь–август 2026.</t>
      </text>
    </comment>
    <comment ref="E39" authorId="0" shapeId="0">
      <text>
        <t>Источник: учет2026.xlsm, агрегация месячных блоков листа магазина. Период: январь–август 2026.</t>
      </text>
    </comment>
    <comment ref="F39" authorId="0" shapeId="0">
      <text>
        <t>Источник: учет2026.xlsm, агрегация месячных блоков листа магазина. Период: январь–август 2026.</t>
      </text>
    </comment>
    <comment ref="G39" authorId="0" shapeId="0">
      <text>
        <t>Источник: учет2026.xlsm, агрегация месячных блоков листа магазина. Период: январь–август 2026.</t>
      </text>
    </comment>
    <comment ref="H39" authorId="0" shapeId="0">
      <text>
        <t>Источник: учет2026.xlsm, агрегация месячных блоков листа магазина. Период: январь–август 2026.</t>
      </text>
    </comment>
    <comment ref="E40" authorId="0" shapeId="0">
      <text>
        <t>Источник: учет2026.xlsm, агрегация месячных блоков листа магазина. Период: январь–август 2026.</t>
      </text>
    </comment>
    <comment ref="F40" authorId="0" shapeId="0">
      <text>
        <t>Источник: учет2026.xlsm, агрегация месячных блоков листа магазина. Период: январь–август 2026.</t>
      </text>
    </comment>
    <comment ref="G40" authorId="0" shapeId="0">
      <text>
        <t>Источник: учет2026.xlsm, агрегация месячных блоков листа магазина. Период: январь–август 2026.</t>
      </text>
    </comment>
    <comment ref="H40" authorId="0" shapeId="0">
      <text>
        <t>Источник: учет2026.xlsm, агрегация месячных блоков листа магазина. Период: январь–август 2026.</t>
      </text>
    </comment>
    <comment ref="E41" authorId="0" shapeId="0">
      <text>
        <t>Источник: учет2026.xlsm, агрегация месячных блоков листа магазина. Период: январь–август 2026.</t>
      </text>
    </comment>
    <comment ref="F41" authorId="0" shapeId="0">
      <text>
        <t>Источник: учет2026.xlsm, агрегация месячных блоков листа магазина. Период: январь–август 2026.</t>
      </text>
    </comment>
    <comment ref="G41" authorId="0" shapeId="0">
      <text>
        <t>Источник: учет2026.xlsm, агрегация месячных блоков листа магазина. Период: январь–август 2026.</t>
      </text>
    </comment>
    <comment ref="H41" authorId="0" shapeId="0">
      <text>
        <t>Источник: учет2026.xlsm, агрегация месячных блоков листа магазина. Период: январь–август 2026.</t>
      </text>
    </comment>
    <comment ref="E42" authorId="0" shapeId="0">
      <text>
        <t>Источник: учет2026.xlsm, агрегация месячных блоков листа магазина. Период: январь–август 2026.</t>
      </text>
    </comment>
    <comment ref="F42" authorId="0" shapeId="0">
      <text>
        <t>Источник: учет2026.xlsm, агрегация месячных блоков листа магазина. Период: январь–август 2026.</t>
      </text>
    </comment>
    <comment ref="G42" authorId="0" shapeId="0">
      <text>
        <t>Источник: учет2026.xlsm, агрегация месячных блоков листа магазина. Период: январь–август 2026.</t>
      </text>
    </comment>
    <comment ref="H42" authorId="0" shapeId="0">
      <text>
        <t>Источник: учет2026.xlsm, агрегация месячных блоков листа магазина. Период: январь–август 2026.</t>
      </text>
    </comment>
    <comment ref="E43" authorId="0" shapeId="0">
      <text>
        <t>Источник: учет2026.xlsm, агрегация месячных блоков листа магазина. Период: январь–август 2026.</t>
      </text>
    </comment>
    <comment ref="F43" authorId="0" shapeId="0">
      <text>
        <t>Источник: учет2026.xlsm, агрегация месячных блоков листа магазина. Период: январь–август 2026.</t>
      </text>
    </comment>
    <comment ref="G43" authorId="0" shapeId="0">
      <text>
        <t>Источник: учет2026.xlsm, агрегация месячных блоков листа магазина. Период: январь–август 2026.</t>
      </text>
    </comment>
    <comment ref="H43" authorId="0" shapeId="0">
      <text>
        <t>Источник: учет2026.xlsm, агрегация месячных блоков листа магазина. Период: январь–август 2026.</t>
      </text>
    </comment>
  </commentList>
</comments>
</file>

<file path=xl/comments/comment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«А1»,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«А1»,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«А1»,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«А1»,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«А1»,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«А1»,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«А1»,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«А1»,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«А1»,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«А1»,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«А1»,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«А1»,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«А1»,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«А1»,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«А1»,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«А1»,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«А1»,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«А1»,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«А1»,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«А1»,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«А1»,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«А1»,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«А1»,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«А1»,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«А1»,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«А1»,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«А1»,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«А1»,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«А1»,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«А1»,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«А1»,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«А1»,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«А1»,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«А1»,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«А1»,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«А1»,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«А1»,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«А1»,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«А1»,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«А1»,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«А1»,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«А1»,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«А1»,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«А1»,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«А1»,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«А1»,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«А1»,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«А1»,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«А1»,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«А1»,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«А1»,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«А1»,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«А1»,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«А1»,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«А1»,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«А1»,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«А1»,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«А1»,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«А1»,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«А1»,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«А1»,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«А1»,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«А1»,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«А1»,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«А1»,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«А1»,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«А1»,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«А1»,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«А1»,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«А1»,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«А2»,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«А2»,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«А2»,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«А2»,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«А2»,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«А2»,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«А2»,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«А2»,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«А2»,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«А2»,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«А2»,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«А2»,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«А2»,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«А2»,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«А2»,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«А2»,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«А2»,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«А2»,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«А2»,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«А2»,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«А2»,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«А2»,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«А2»,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«А2»,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«А2»,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«А2»,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«А2»,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«А2»,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«А2»,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«А2»,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«А2»,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«А2»,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«А2»,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«А2»,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«А2»,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«А2»,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«А2»,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«А2»,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«А2»,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«А2»,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«А2»,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«А2»,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«А2»,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«А2»,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«А2»,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«А2»,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«А2»,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«А2»,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«А2»,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«А2»,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«А2»,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«А2»,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«А2»,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«А2»,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«А2»,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«А2»,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«А2»,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«А2»,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«А2»,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«А2»,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«А2»,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«А2»,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«А2»,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«А2»,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«А2»,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«А2»,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«А2»,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«А2»,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«А2»,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«А2»,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«А3»,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«А3»,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«А3»,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«А3»,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«А3»,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«А3»,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«А3»,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«А3»,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«А3»,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«А3»,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«А3»,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«А3»,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«А3»,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«А3»,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«А3»,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«А3»,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«А3»,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«А3»,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«А3»,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«А3»,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«А3»,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«А3»,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«А3»,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«А3»,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«А3»,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«А3»,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«А3»,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«А3»,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«А3»,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«А3»,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«А3»,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«А3»,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«А3»,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«А3»,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«А3»,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«А3»,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«А3»,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«А3»,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«А3»,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«А3»,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«А3»,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«А3»,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«А3»,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«А3»,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«А3»,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«А3»,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«А3»,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«А3»,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«А3»,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«А3»,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«А3»,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«А3»,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«А3»,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«А3»,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«А3»,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«А3»,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«А3»,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«А3»,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«А3»,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«А3»,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«А3»,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«А3»,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«А3»,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«А3»,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«А3»,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«А3»,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«А3»,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«А3»,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«А3»,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«А3»,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«ГС1»,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«ГС1»,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«ГС1»,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«ГС1»,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«ГС1»,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«ГС1»,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«ГС1»,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«ГС1»,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«ГС1»,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«ГС1»,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«ГС1»,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«ГС1»,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«ГС1»,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«ГС1»,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«ГС1»,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«ГС1»,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«ГС1»,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«ГС1»,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«ГС1»,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«ГС1»,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«ГС1»,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«ГС1»,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«ГС1»,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«ГС1»,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«ГС1»,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«ГС1»,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«ГС1»,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«ГС1»,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«ГС1»,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«ГС1»,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«ГС1»,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«ГС1»,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«ГС1»,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«ГС1»,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«ГС1»,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«ГС1»,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«ГС1»,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«ГС1»,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«ГС1»,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«ГС1»,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«ГС1»,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«ГС1»,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«ГС1»,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«ГС1»,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«ГС1»,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«ГС1»,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«ГС1»,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«ГС1»,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«ГС1»,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«ГС1»,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«ГС1»,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«ГС1»,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«ГС1»,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«ГС1»,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«ГС1»,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«ГС1»,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«ГС1»,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«ГС1»,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«ГС1»,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«ГС1»,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«ГС1»,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«ГС1»,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«ГС1»,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«ГС1»,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«ГС1»,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«ГС1»,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«ГС1»,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«ГС1»,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«ГС1»,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«ГС1»,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8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«ГС2»,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«ГС2»,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«ГС2»,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«ГС2»,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«ГС2»,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«ГС2»,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«ГС2»,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«ГС2»,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«ГС2»,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«ГС2»,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«ГС2»,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«ГС2»,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«ГС2»,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«ГС2»,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«ГС2»,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«ГС2»,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«ГС2»,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«ГС2»,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«ГС2»,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«ГС2»,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«ГС2»,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«ГС2»,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«ГС2»,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«ГС2»,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«ГС2»,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«ГС2»,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«ГС2»,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«ГС2»,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«ГС2»,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«ГС2»,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«ГС2»,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«ГС2»,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«ГС2»,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«ГС2»,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«ГС2»,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«ГС2»,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«ГС2»,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«ГС2»,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«ГС2»,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«ГС2»,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«ГС2»,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«ГС2»,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«ГС2»,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«ГС2»,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«ГС2»,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«ГС2»,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«ГС2»,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«ГС2»,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«ГС2»,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«ГС2»,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«ГС2»,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«ГС2»,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«ГС2»,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«ГС2»,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«ГС2»,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«ГС2»,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«ГС2»,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«ГС2»,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«ГС2»,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«ГС2»,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«ГС2»,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«ГС2»,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«ГС2»,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«ГС2»,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«ГС2»,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«ГС2»,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«ГС2»,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«ГС2»,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«ГС2»,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«ГС2»,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9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«ЗАО»,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«ЗАО»,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«ЗАО»,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«ЗАО»,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«ЗАО»,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«ЗАО»,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«ЗАО»,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«ЗАО»,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«ЗАО»,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«ЗАО»,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«ЗАО»,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«ЗАО»,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«ЗАО»,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«ЗАО»,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«ЗАО»,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«ЗАО»,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«ЗАО»,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«ЗАО»,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«ЗАО»,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«ЗАО»,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«ЗАО»,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«ЗАО»,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«ЗАО»,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«ЗАО»,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«ЗАО»,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«ЗАО»,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«ЗАО»,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«ЗАО»,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«ЗАО»,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«ЗАО»,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«ЗАО»,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«ЗАО»,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«ЗАО»,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«ЗАО»,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«ЗАО»,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«ЗАО»,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«ЗАО»,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«ЗАО»,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«ЗАО»,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«ЗАО»,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«ЗАО»,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«ЗАО»,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«ЗАО»,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«ЗАО»,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«ЗАО»,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«ЗАО»,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«ЗАО»,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«ЗАО»,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«ЗАО»,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«ЗАО»,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«ЗАО»,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«ЗАО»,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«ЗАО»,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«ЗАО»,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«ЗАО»,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«ЗАО»,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«ЗАО»,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«ЗАО»,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«ЗАО»,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«ЗАО»,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«ЗАО»,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«ЗАО»,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«ЗАО»,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«ЗАО»,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«ЗАО»,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«ЗАО»,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«ЗАО»,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«ЗАО»,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«ЗАО»,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«ЗАО»,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0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«ЗАП»,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«ЗАП»,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«ЗАП»,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«ЗАП»,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«ЗАП»,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«ЗАП»,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«ЗАП»,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«ЗАП»,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«ЗАП»,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«ЗАП»,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«ЗАП»,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«ЗАП»,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«ЗАП»,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«ЗАП»,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«ЗАП»,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«ЗАП»,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«ЗАП»,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«ЗАП»,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«ЗАП»,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«ЗАП»,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«ЗАП»,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«ЗАП»,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«ЗАП»,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«ЗАП»,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«ЗАП»,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«ЗАП»,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«ЗАП»,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«ЗАП»,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«ЗАП»,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«ЗАП»,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«ЗАП»,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«ЗАП»,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«ЗАП»,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«ЗАП»,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«ЗАП»,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«ЗАП»,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«ЗАП»,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«ЗАП»,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«ЗАП»,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«ЗАП»,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«ЗАП»,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«ЗАП»,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«ЗАП»,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«ЗАП»,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«ЗАП»,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«ЗАП»,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«ЗАП»,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«ЗАП»,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«ЗАП»,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«ЗАП»,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«ЗАП»,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«ЗАП»,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«ЗАП»,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«ЗАП»,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«ЗАП»,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«ЗАП»,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«ЗАП»,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«ЗАП»,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«ЗАП»,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«ЗАП»,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«ЗАП»,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«ЗАП»,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«ЗАП»,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«ЗАП»,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«ЗАП»,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«ЗАП»,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«ЗАП»,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«ЗАП»,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«ЗАП»,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«ЗАП»,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1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«К49»,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«К49»,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«К49»,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«К49»,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«К49»,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«К49»,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«К49»,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«К49»,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«К49»,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«К49»,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«К49»,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«К49»,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«К49»,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«К49»,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«К49»,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«К49»,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«К49»,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«К49»,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«К49»,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«К49»,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«К49»,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«К49»,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«К49»,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«К49»,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«К49»,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«К49»,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«К49»,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«К49»,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«К49»,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«К49»,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«К49»,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«К49»,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«К49»,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«К49»,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«К49»,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«К49»,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«К49»,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«К49»,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«К49»,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«К49»,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«К49»,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«К49»,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«К49»,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«К49»,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«К49»,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«К49»,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«К49»,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«К49»,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«К49»,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«К49»,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«К49»,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«К49»,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«К49»,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«К49»,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«К49»,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«К49»,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«К49»,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«К49»,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«К49»,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«К49»,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«К49»,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«К49»,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«К49»,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«К49»,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«К49»,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«К49»,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«К49»,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«К49»,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«К49»,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«К49»,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2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«К80»,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«К80»,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«К80»,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«К80»,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«К80»,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«К80»,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«К80»,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«К80»,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«К80»,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«К80»,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«К80»,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«К80»,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«К80»,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«К80»,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«К80»,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«К80»,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«К80»,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«К80»,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«К80»,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«К80»,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«К80»,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«К80»,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«К80»,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«К80»,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«К80»,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«К80»,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«К80»,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«К80»,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«К80»,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«К80»,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«К80»,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«К80»,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«К80»,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«К80»,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«К80»,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«К80»,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«К80»,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«К80»,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«К80»,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«К80»,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«К80»,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«К80»,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«К80»,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«К80»,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«К80»,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«К80»,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«К80»,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«К80»,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«К80»,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«К80»,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«К80»,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«К80»,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«К80»,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«К80»,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«К80»,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«К80»,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«К80»,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«К80»,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«К80»,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«К80»,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«К80»,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«К80»,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«К80»,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«К80»,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«К80»,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«К80»,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«К80»,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«К80»,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«К80»,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«К80»,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3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«КА1»,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«КА1»,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«КА1»,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«КА1»,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«КА1»,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«КА1»,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«КА1»,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«КА1»,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«КА1»,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«КА1»,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«КА1»,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«КА1»,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«КА1»,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«КА1»,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«КА1»,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«КА1»,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«КА1»,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«КА1»,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«КА1»,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«КА1»,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«КА1»,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«КА1»,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«КА1»,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«КА1»,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«КА1»,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«КА1»,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«КА1»,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«КА1»,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«КА1»,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«КА1»,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«КА1»,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«КА1»,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«КА1»,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«КА1»,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«КА1»,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«КА1»,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«КА1»,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«КА1»,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«КА1»,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«КА1»,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«КА1»,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«КА1»,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«КА1»,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«КА1»,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«КА1»,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«КА1»,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«КА1»,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«КА1»,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«КА1»,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«КА1»,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«КА1»,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«КА1»,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«КА1»,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«КА1»,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«КА1»,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«КА1»,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«КА1»,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«КА1»,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«КА1»,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«КА1»,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«КА1»,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«КА1»,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«КА1»,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«КА1»,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«КА1»,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«КА1»,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«КА1»,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«КА1»,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«КА1»,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«КА1»,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«КА2»,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«КА2»,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«КА2»,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«КА2»,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«КА2»,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«КА2»,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«КА2»,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«КА2»,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«КА2»,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«КА2»,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«КА2»,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«КА2»,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«КА2»,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«КА2»,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«КА2»,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«КА2»,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«КА2»,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«КА2»,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«КА2»,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«КА2»,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«КА2»,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«КА2»,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«КА2»,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«КА2»,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«КА2»,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«КА2»,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«КА2»,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«КА2»,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«КА2»,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«КА2»,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«КА2»,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«КА2»,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«КА2»,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«КА2»,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«КА2»,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«КА2»,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«КА2»,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«КА2»,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«КА2»,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«КА2»,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«КА2»,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«КА2»,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«КА2»,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«КА2»,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«КА2»,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«КА2»,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«КА2»,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«КА2»,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«КА2»,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«КА2»,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«КА2»,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«КА2»,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«КА2»,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«КА2»,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«КА2»,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«КА2»,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«КА2»,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«КА2»,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«КА2»,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«КА2»,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«КА2»,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«КА2»,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«КА2»,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«КА2»,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«КА2»,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«КА2»,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«КА2»,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«КА2»,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«КА2»,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«КА2»,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«КИР1»,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«КИР1»,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«КИР1»,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«КИР1»,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«КИР1»,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«КИР1»,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«КИР1»,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«КИР1»,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«КИР1»,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«КИР1»,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«КИР1»,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«КИР1»,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«КИР1»,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«КИР1»,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«КИР1»,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«КИР1»,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«КИР1»,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«КИР1»,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«КИР1»,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«КИР1»,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«КИР1»,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«КИР1»,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«КИР1»,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«КИР1»,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«КИР1»,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«КИР1»,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«КИР1»,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«КИР1»,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«КИР1»,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«КИР1»,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«КИР1»,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«КИР1»,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«КИР1»,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«КИР1»,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«КИР1»,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«КИР1»,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«КИР1»,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«КИР1»,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«КИР1»,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«КИР1»,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«КИР1»,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«КИР1»,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«КИР1»,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«КИР1»,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«КИР1»,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«КИР1»,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«КИР1»,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«КИР1»,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«КИР1»,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«КИР1»,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«КИР1»,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«КИР1»,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«КИР1»,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«КИР1»,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«КИР1»,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«КИР1»,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«КИР1»,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«КИР1»,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«КИР1»,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«КИР1»,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«КИР1»,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«КИР1»,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«КИР1»,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«КИР1»,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«КИР1»,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«КИР1»,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«КИР1»,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«КИР1»,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«КИР1»,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«КИР1»,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«КИР2»,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«КИР2»,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«КИР2»,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«КИР2»,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«КИР2»,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«КИР2»,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«КИР2»,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«КИР2»,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«КИР2»,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«КИР2»,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«КИР2»,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«КИР2»,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«КИР2»,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«КИР2»,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«КИР2»,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«КИР2»,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«КИР2»,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«КИР2»,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«КИР2»,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«КИР2»,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«КИР2»,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«КИР2»,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«КИР2»,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«КИР2»,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«КИР2»,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«КИР2»,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«КИР2»,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«КИР2»,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«КИР2»,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«КИР2»,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«КИР2»,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«КИР2»,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«КИР2»,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«КИР2»,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«КИР2»,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«КИР2»,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«КИР2»,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«КИР2»,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«КИР2»,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«КИР2»,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«КИР2»,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«КИР2»,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«КИР2»,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«КИР2»,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«КИР2»,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«КИР2»,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«КИР2»,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«КИР2»,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«КИР2»,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«КИР2»,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«КИР2»,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«КИР2»,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«КИР2»,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«КИР2»,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«КИР2»,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«КИР2»,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«КИР2»,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«КИР2»,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«КИР2»,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«КИР2»,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«КИР2»,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«КИР2»,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«КИР2»,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«КИР2»,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«КИР2»,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«КИР2»,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«КИР2»,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«КИР2»,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«КИР2»,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«КИР2»,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«КИР3»,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«КИР3»,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«КИР3»,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«КИР3»,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«КИР3»,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«КИР3»,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«КИР3»,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«КИР3»,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«КИР3»,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«КИР3»,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«КИР3»,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«КИР3»,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«КИР3»,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«КИР3»,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«КИР3»,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«КИР3»,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«КИР3»,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«КИР3»,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«КИР3»,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«КИР3»,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«КИР3»,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«КИР3»,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«КИР3»,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«КИР3»,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«КИР3»,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«КИР3»,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«КИР3»,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«КИР3»,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«КИР3»,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«КИР3»,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«КИР3»,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«КИР3»,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«КИР3»,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«КИР3»,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«КИР3»,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«КИР3»,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«КИР3»,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«КИР3»,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«КИР3»,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«КИР3»,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«КИР3»,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«КИР3»,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«КИР3»,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«КИР3»,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«КИР3»,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«КИР3»,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«КИР3»,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«КИР3»,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«КИР3»,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«КИР3»,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«КИР3»,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«КИР3»,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«КИР3»,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«КИР3»,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«КИР3»,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«КИР3»,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«КИР3»,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«КИР3»,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«КИР3»,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«КИР3»,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«КИР3»,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«КИР3»,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«КИР3»,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«КИР3»,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«КИР3»,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«КИР3»,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«КИР3»,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«КИР3»,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«КИР3»,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«КИР3»,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8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«КНИП»,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«КНИП»,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«КНИП»,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«КНИП»,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«КНИП»,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«КНИП»,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«КНИП»,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«КНИП»,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«КНИП»,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«КНИП»,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«КНИП»,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«КНИП»,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«КНИП»,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«КНИП»,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«КНИП»,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«КНИП»,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«КНИП»,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«КНИП»,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«КНИП»,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«КНИП»,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«КНИП»,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«КНИП»,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«КНИП»,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«КНИП»,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«КНИП»,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«КНИП»,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«КНИП»,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«КНИП»,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«КНИП»,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«КНИП»,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«КНИП»,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«КНИП»,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«КНИП»,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«КНИП»,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«КНИП»,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«КНИП»,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«КНИП»,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«КНИП»,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«КНИП»,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«КНИП»,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«КНИП»,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«КНИП»,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«КНИП»,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«КНИП»,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«КНИП»,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«КНИП»,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«КНИП»,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«КНИП»,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«КНИП»,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«КНИП»,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«КНИП»,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«КНИП»,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«КНИП»,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«КНИП»,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«КНИП»,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«КНИП»,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«КНИП»,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«КНИП»,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«КНИП»,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«КНИП»,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«КНИП»,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«КНИП»,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«КНИП»,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«КНИП»,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«КНИП»,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«КНИП»,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«КНИП»,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«КНИП»,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«КНИП»,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«КНИП»,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19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«КОВ»,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«КОВ»,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«КОВ»,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«КОВ»,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«КОВ»,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«КОВ»,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«КОВ»,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«КОВ»,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«КОВ»,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«КОВ»,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«КОВ»,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«КОВ»,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«КОВ»,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«КОВ»,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«КОВ»,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«КОВ»,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«КОВ»,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«КОВ»,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«КОВ»,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«КОВ»,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«КОВ»,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«КОВ»,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«КОВ»,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«КОВ»,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«КОВ»,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«КОВ»,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«КОВ»,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«КОВ»,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«КОВ»,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«КОВ»,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«КОВ»,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«КОВ»,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«КОВ»,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«КОВ»,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«КОВ»,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«КОВ»,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«КОВ»,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«КОВ»,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«КОВ»,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«КОВ»,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«КОВ»,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«КОВ»,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«КОВ»,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«КОВ»,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«КОВ»,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«КОВ»,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«КОВ»,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«КОВ»,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«КОВ»,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«КОВ»,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«КОВ»,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«КОВ»,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«КОВ»,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«КОВ»,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«КОВ»,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«КОВ»,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«КОВ»,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«КОВ»,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«КОВ»,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«КОВ»,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«КОВ»,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«КОВ»,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«КОВ»,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«КОВ»,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«КОВ»,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«КОВ»,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«КОВ»,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«КОВ»,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«КОВ»,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«КОВ»,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0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«Л76»,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«Л76»,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«Л76»,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«Л76»,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«Л76»,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«Л76»,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«Л76»,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«Л76»,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«Л76»,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«Л76»,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«Л76»,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«Л76»,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«Л76»,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«Л76»,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«Л76»,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«Л76»,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«Л76»,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«Л76»,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«Л76»,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«Л76»,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«Л76»,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«Л76»,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«Л76»,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«Л76»,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«Л76»,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«Л76»,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«Л76»,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«Л76»,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«Л76»,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«Л76»,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«Л76»,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«Л76»,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«Л76»,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«Л76»,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«Л76»,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«Л76»,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«Л76»,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«Л76»,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«Л76»,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«Л76»,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«Л76»,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«Л76»,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«Л76»,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«Л76»,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«Л76»,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«Л76»,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«Л76»,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«Л76»,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«Л76»,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«Л76»,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«Л76»,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«Л76»,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«Л76»,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«Л76»,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«Л76»,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«Л76»,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«Л76»,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«Л76»,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«Л76»,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«Л76»,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«Л76»,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«Л76»,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«Л76»,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«Л76»,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«Л76»,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«Л76»,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«Л76»,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«Л76»,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«Л76»,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«Л76»,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1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«МАК»,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«МАК»,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«МАК»,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«МАК»,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«МАК»,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«МАК»,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«МАК»,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«МАК»,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«МАК»,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«МАК»,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«МАК»,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«МАК»,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«МАК»,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«МАК»,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«МАК»,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«МАК»,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«МАК»,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«МАК»,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«МАК»,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«МАК»,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«МАК»,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«МАК»,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«МАК»,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«МАК»,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«МАК»,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«МАК»,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«МАК»,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«МАК»,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«МАК»,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«МАК»,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«МАК»,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«МАК»,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«МАК»,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«МАК»,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«МАК»,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«МАК»,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«МАК»,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«МАК»,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«МАК»,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«МАК»,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«МАК»,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«МАК»,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«МАК»,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«МАК»,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«МАК»,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«МАК»,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«МАК»,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«МАК»,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«МАК»,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«МАК»,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«МАК»,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«МАК»,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«МАК»,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«МАК»,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«МАК»,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«МАК»,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«МАК»,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«МАК»,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«МАК»,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«МАК»,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«МАК»,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«МАК»,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«МАК»,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«МАК»,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«МАК»,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«МАК»,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«МАК»,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«МАК»,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«МАК»,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«МАК»,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2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«МИРА»,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«МИРА»,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«МИРА»,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«МИРА»,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«МИРА»,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«МИРА»,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«МИРА»,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«МИРА»,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«МИРА»,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«МИРА»,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«МИРА»,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«МИРА»,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«МИРА»,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«МИРА»,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«МИРА»,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«МИРА»,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«МИРА»,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«МИРА»,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«МИРА»,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«МИРА»,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«МИРА»,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«МИРА»,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«МИРА»,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«МИРА»,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«МИРА»,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«МИРА»,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«МИРА»,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«МИРА»,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«МИРА»,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«МИРА»,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«МИРА»,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«МИРА»,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«МИРА»,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«МИРА»,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«МИРА»,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«МИРА»,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«МИРА»,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«МИРА»,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«МИРА»,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«МИРА»,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«МИРА»,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«МИРА»,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«МИРА»,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«МИРА»,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«МИРА»,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«МИРА»,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«МИРА»,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«МИРА»,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«МИРА»,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«МИРА»,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«МИРА»,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«МИРА»,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«МИРА»,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«МИРА»,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«МИРА»,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«МИРА»,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«МИРА»,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«МИРА»,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«МИРА»,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«МИРА»,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«МИРА»,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«МИРА»,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«МИРА»,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«МИРА»,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«МИРА»,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«МИРА»,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«МИРА»,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«МИРА»,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«МИРА»,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«МИРА»,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3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«МОЛ»,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«МОЛ»,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«МОЛ»,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«МОЛ»,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«МОЛ»,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«МОЛ»,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«МОЛ»,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«МОЛ»,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«МОЛ»,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«МОЛ»,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«МОЛ»,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«МОЛ»,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«МОЛ»,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«МОЛ»,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«МОЛ»,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«МОЛ»,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«МОЛ»,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«МОЛ»,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«МОЛ»,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«МОЛ»,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«МОЛ»,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«МОЛ»,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«МОЛ»,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«МОЛ»,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«МОЛ»,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«МОЛ»,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«МОЛ»,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«МОЛ»,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«МОЛ»,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«МОЛ»,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«МОЛ»,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«МОЛ»,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«МОЛ»,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«МОЛ»,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«МОЛ»,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«МОЛ»,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«МОЛ»,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«МОЛ»,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«МОЛ»,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«МОЛ»,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«МОЛ»,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«МОЛ»,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«МОЛ»,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«МОЛ»,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«МОЛ»,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«МОЛ»,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«МОЛ»,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«МОЛ»,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«МОЛ»,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«МОЛ»,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«МОЛ»,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«МОЛ»,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«МОЛ»,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«МОЛ»,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«МОЛ»,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«МОЛ»,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«МОЛ»,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«МОЛ»,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«МОЛ»,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«МОЛ»,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«МОЛ»,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«МОЛ»,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«МОЛ»,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«МОЛ»,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«МОЛ»,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«МОЛ»,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«МОЛ»,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«МОЛ»,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«МОЛ»,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«МОЛ»,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«МОН»,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«МОН»,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«МОН»,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«МОН»,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«МОН»,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«МОН»,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«МОН»,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«МОН»,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«МОН»,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«МОН»,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«МОН»,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«МОН»,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«МОН»,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«МОН»,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«МОН»,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«МОН»,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«МОН»,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«МОН»,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«МОН»,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«МОН»,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«МОН»,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«МОН»,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«МОН»,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«МОН»,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«МОН»,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«МОН»,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«МОН»,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«МОН»,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«МОН»,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«МОН»,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«МОН»,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«МОН»,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«МОН»,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«МОН»,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«МОН»,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«МОН»,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«МОН»,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«МОН»,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«МОН»,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«МОН»,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«МОН»,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«МОН»,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«МОН»,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«МОН»,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«МОН»,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«МОН»,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«МОН»,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«МОН»,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«МОН»,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«МОН»,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«МОН»,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«МОН»,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«МОН»,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«МОН»,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«МОН»,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«МОН»,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«МОН»,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«МОН»,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«МОН»,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«МОН»,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«МОН»,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«МОН»,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«МОН»,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«МОН»,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«МОН»,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«МОН»,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«МОН»,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«МОН»,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«МОН»,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«МОН»,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«Н95»,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«Н95»,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«Н95»,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«Н95»,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«Н95»,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«Н95»,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«Н95»,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«Н95»,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«Н95»,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«Н95»,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«Н95»,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«Н95»,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«Н95»,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«Н95»,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«Н95»,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«Н95»,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«Н95»,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«Н95»,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«Н95»,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«Н95»,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«Н95»,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«Н95»,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«Н95»,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«Н95»,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«Н95»,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«Н95»,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«Н95»,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«Н95»,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«Н95»,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«Н95»,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«Н95»,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«Н95»,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«Н95»,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«Н95»,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«Н95»,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«Н95»,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«Н95»,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«Н95»,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«Н95»,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«Н95»,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«Н95»,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«Н95»,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«Н95»,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«Н95»,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«Н95»,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«Н95»,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«Н95»,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«Н95»,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«Н95»,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«Н95»,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«Н95»,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«Н95»,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«Н95»,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«Н95»,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«Н95»,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«Н95»,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«Н95»,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«Н95»,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«Н95»,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«Н95»,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«Н95»,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«Н95»,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«Н95»,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«Н95»,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«Н95»,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«Н95»,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«Н95»,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«Н95»,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«Н95»,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«Н95»,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«НИК»,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«НИК»,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«НИК»,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«НИК»,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«НИК»,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«НИК»,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«НИК»,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«НИК»,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«НИК»,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«НИК»,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«НИК»,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«НИК»,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«НИК»,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«НИК»,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«НИК»,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«НИК»,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«НИК»,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«НИК»,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«НИК»,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«НИК»,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«НИК»,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«НИК»,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«НИК»,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«НИК»,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«НИК»,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«НИК»,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«НИК»,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«НИК»,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«НИК»,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«НИК»,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«НИК»,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«НИК»,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«НИК»,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«НИК»,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«НИК»,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«НИК»,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«НИК»,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«НИК»,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«НИК»,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«НИК»,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«НИК»,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«НИК»,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«НИК»,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«НИК»,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«НИК»,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«НИК»,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«НИК»,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«НИК»,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«НИК»,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«НИК»,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«НИК»,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«НИК»,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«НИК»,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«НИК»,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«НИК»,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«НИК»,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«НИК»,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«НИК»,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«НИК»,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«НИК»,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«НИК»,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«НИК»,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«НИК»,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«НИК»,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«НИК»,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«НИК»,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«НИК»,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«НИК»,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«НИК»,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«НИК»,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«ОЛЕ»,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«ОЛЕ»,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«ОЛЕ»,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«ОЛЕ»,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«ОЛЕ»,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«ОЛЕ»,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«ОЛЕ»,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«ОЛЕ»,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«ОЛЕ»,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«ОЛЕ»,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«ОЛЕ»,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«ОЛЕ»,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«ОЛЕ»,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«ОЛЕ»,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«ОЛЕ»,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«ОЛЕ»,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«ОЛЕ»,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«ОЛЕ»,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«ОЛЕ»,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«ОЛЕ»,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«ОЛЕ»,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«ОЛЕ»,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«ОЛЕ»,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«ОЛЕ»,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«ОЛЕ»,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«ОЛЕ»,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«ОЛЕ»,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«ОЛЕ»,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«ОЛЕ»,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«ОЛЕ»,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«ОЛЕ»,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«ОЛЕ»,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«ОЛЕ»,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«ОЛЕ»,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«ОЛЕ»,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«ОЛЕ»,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«ОЛЕ»,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«ОЛЕ»,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«ОЛЕ»,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«ОЛЕ»,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«ОЛЕ»,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«ОЛЕ»,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«ОЛЕ»,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«ОЛЕ»,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«ОЛЕ»,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«ОЛЕ»,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«ОЛЕ»,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«ОЛЕ»,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«ОЛЕ»,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«ОЛЕ»,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«ОЛЕ»,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«ОЛЕ»,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«ОЛЕ»,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«ОЛЕ»,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«ОЛЕ»,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«ОЛЕ»,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«ОЛЕ»,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«ОЛЕ»,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«ОЛЕ»,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«ОЛЕ»,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«ОЛЕ»,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«ОЛЕ»,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«ОЛЕ»,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«ОЛЕ»,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«ОЛЕ»,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«ОЛЕ»,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«ОЛЕ»,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«ОЛЕ»,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«ОЛЕ»,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«ОЛЕ»,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8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«П.ЗОР»,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«П.ЗОР»,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«П.ЗОР»,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«П.ЗОР»,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«П.ЗОР»,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«П.ЗОР»,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«П.ЗОР»,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«П.ЗОР»,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«П.ЗОР»,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«П.ЗОР»,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«П.ЗОР»,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«П.ЗОР»,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«П.ЗОР»,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«П.ЗОР»,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«П.ЗОР»,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«П.ЗОР»,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«П.ЗОР»,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«П.ЗОР»,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«П.ЗОР»,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«П.ЗОР»,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«П.ЗОР»,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«П.ЗОР»,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«П.ЗОР»,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«П.ЗОР»,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«П.ЗОР»,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«П.ЗОР»,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«П.ЗОР»,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«П.ЗОР»,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«П.ЗОР»,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«П.ЗОР»,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«П.ЗОР»,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«П.ЗОР»,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«П.ЗОР»,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«П.ЗОР»,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«П.ЗОР»,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«П.ЗОР»,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«П.ЗОР»,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«П.ЗОР»,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«П.ЗОР»,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«П.ЗОР»,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«П.ЗОР»,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«П.ЗОР»,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«П.ЗОР»,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«П.ЗОР»,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«П.ЗОР»,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«П.ЗОР»,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«П.ЗОР»,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«П.ЗОР»,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«П.ЗОР»,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«П.ЗОР»,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«П.ЗОР»,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«П.ЗОР»,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«П.ЗОР»,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«П.ЗОР»,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«П.ЗОР»,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«П.ЗОР»,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«П.ЗОР»,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«П.ЗОР»,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«П.ЗОР»,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«П.ЗОР»,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«П.ЗОР»,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«П.ЗОР»,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«П.ЗОР»,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«П.ЗОР»,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«П.ЗОР»,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«П.ЗОР»,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«П.ЗОР»,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«П.ЗОР»,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«П.ЗОР»,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«П.ЗОР»,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29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«ПЗ1»,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«ПЗ1»,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«ПЗ1»,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«ПЗ1»,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«ПЗ1»,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«ПЗ1»,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«ПЗ1»,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«ПЗ1»,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«ПЗ1»,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«ПЗ1»,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«ПЗ1»,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«ПЗ1»,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«ПЗ1»,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«ПЗ1»,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«ПЗ1»,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«ПЗ1»,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«ПЗ1»,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«ПЗ1»,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«ПЗ1»,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«ПЗ1»,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«ПЗ1»,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«ПЗ1»,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«ПЗ1»,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«ПЗ1»,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«ПЗ1»,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«ПЗ1»,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«ПЗ1»,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«ПЗ1»,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«ПЗ1»,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«ПЗ1»,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«ПЗ1»,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«ПЗ1»,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«ПЗ1»,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«ПЗ1»,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«ПЗ1»,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«ПЗ1»,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«ПЗ1»,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«ПЗ1»,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«ПЗ1»,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«ПЗ1»,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«ПЗ1»,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«ПЗ1»,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«ПЗ1»,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«ПЗ1»,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«ПЗ1»,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«ПЗ1»,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«ПЗ1»,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«ПЗ1»,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«ПЗ1»,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«ПЗ1»,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«ПЗ1»,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«ПЗ1»,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«ПЗ1»,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«ПЗ1»,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«ПЗ1»,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«ПЗ1»,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«ПЗ1»,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«ПЗ1»,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«ПЗ1»,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«ПЗ1»,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«ПЗ1»,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«ПЗ1»,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«ПЗ1»,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«ПЗ1»,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«ПЗ1»,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«ПЗ1»,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«ПЗ1»,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«ПЗ1»,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«ПЗ1»,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«ПЗ1»,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0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«ПЗ2»,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«ПЗ2»,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«ПЗ2»,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«ПЗ2»,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«ПЗ2»,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«ПЗ2»,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«ПЗ2»,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«ПЗ2»,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«ПЗ2»,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«ПЗ2»,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«ПЗ2»,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«ПЗ2»,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«ПЗ2»,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«ПЗ2»,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«ПЗ2»,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«ПЗ2»,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«ПЗ2»,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«ПЗ2»,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«ПЗ2»,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«ПЗ2»,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«ПЗ2»,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«ПЗ2»,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«ПЗ2»,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«ПЗ2»,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«ПЗ2»,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«ПЗ2»,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«ПЗ2»,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«ПЗ2»,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«ПЗ2»,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«ПЗ2»,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«ПЗ2»,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«ПЗ2»,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«ПЗ2»,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«ПЗ2»,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«ПЗ2»,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«ПЗ2»,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«ПЗ2»,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«ПЗ2»,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«ПЗ2»,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«ПЗ2»,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«ПЗ2»,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«ПЗ2»,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«ПЗ2»,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«ПЗ2»,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«ПЗ2»,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«ПЗ2»,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«ПЗ2»,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«ПЗ2»,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«ПЗ2»,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«ПЗ2»,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«ПЗ2»,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«ПЗ2»,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«ПЗ2»,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«ПЗ2»,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«ПЗ2»,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«ПЗ2»,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«ПЗ2»,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«ПЗ2»,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«ПЗ2»,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«ПЗ2»,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«ПЗ2»,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«ПЗ2»,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«ПЗ2»,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«ПЗ2»,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«ПЗ2»,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«ПЗ2»,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«ПЗ2»,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«ПЗ2»,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«ПЗ2»,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«ПЗ2»,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1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«ПОЛ»,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«ПОЛ»,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«ПОЛ»,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«ПОЛ»,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«ПОЛ»,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«ПОЛ»,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«ПОЛ»,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«ПОЛ»,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«ПОЛ»,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«ПОЛ»,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«ПОЛ»,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«ПОЛ»,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«ПОЛ»,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«ПОЛ»,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«ПОЛ»,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«ПОЛ»,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«ПОЛ»,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«ПОЛ»,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«ПОЛ»,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«ПОЛ»,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«ПОЛ»,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«ПОЛ»,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«ПОЛ»,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«ПОЛ»,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«ПОЛ»,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«ПОЛ»,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«ПОЛ»,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«ПОЛ»,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«ПОЛ»,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«ПОЛ»,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«ПОЛ»,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«ПОЛ»,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«ПОЛ»,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«ПОЛ»,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«ПОЛ»,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«ПОЛ»,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«ПОЛ»,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«ПОЛ»,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«ПОЛ»,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«ПОЛ»,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«ПОЛ»,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«ПОЛ»,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«ПОЛ»,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«ПОЛ»,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«ПОЛ»,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«ПОЛ»,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«ПОЛ»,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«ПОЛ»,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«ПОЛ»,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«ПОЛ»,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«ПОЛ»,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«ПОЛ»,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«ПОЛ»,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«ПОЛ»,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«ПОЛ»,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«ПОЛ»,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«ПОЛ»,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«ПОЛ»,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«ПОЛ»,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«ПОЛ»,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«ПОЛ»,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«ПОЛ»,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«ПОЛ»,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«ПОЛ»,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«ПОЛ»,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«ПОЛ»,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«ПОЛ»,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«ПОЛ»,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«ПОЛ»,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«ПОЛ»,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2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«ПОРТ»,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«ПОРТ»,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«ПОРТ»,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«ПОРТ»,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«ПОРТ»,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«ПОРТ»,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«ПОРТ»,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«ПОРТ»,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«ПОРТ»,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«ПОРТ»,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«ПОРТ»,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«ПОРТ»,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«ПОРТ»,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«ПОРТ»,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«ПОРТ»,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«ПОРТ»,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«ПОРТ»,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«ПОРТ»,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«ПОРТ»,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«ПОРТ»,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«ПОРТ»,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«ПОРТ»,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«ПОРТ»,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«ПОРТ»,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«ПОРТ»,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«ПОРТ»,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«ПОРТ»,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«ПОРТ»,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«ПОРТ»,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«ПОРТ»,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«ПОРТ»,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«ПОРТ»,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«ПОРТ»,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«ПОРТ»,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«ПОРТ»,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«ПОРТ»,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«ПОРТ»,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«ПОРТ»,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«ПОРТ»,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«ПОРТ»,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«ПОРТ»,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«ПОРТ»,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«ПОРТ»,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«ПОРТ»,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«ПОРТ»,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«ПОРТ»,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«ПОРТ»,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«ПОРТ»,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«ПОРТ»,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«ПОРТ»,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«ПОРТ»,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«ПОРТ»,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«ПОРТ»,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«ПОРТ»,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«ПОРТ»,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«ПОРТ»,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«ПОРТ»,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«ПОРТ»,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«ПОРТ»,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«ПОРТ»,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«ПОРТ»,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«ПОРТ»,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«ПОРТ»,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«ПОРТ»,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«ПОРТ»,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«ПОРТ»,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«ПОРТ»,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«ПОРТ»,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«ПОРТ»,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«ПОРТ»,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3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«РОС»,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«РОС»,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«РОС»,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«РОС»,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«РОС»,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«РОС»,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«РОС»,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«РОС»,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«РОС»,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«РОС»,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«РОС»,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«РОС»,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«РОС»,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«РОС»,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«РОС»,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«РОС»,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«РОС»,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«РОС»,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«РОС»,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«РОС»,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«РОС»,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«РОС»,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«РОС»,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«РОС»,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«РОС»,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«РОС»,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«РОС»,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«РОС»,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«РОС»,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«РОС»,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«РОС»,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«РОС»,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«РОС»,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«РОС»,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«РОС»,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«РОС»,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«РОС»,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«РОС»,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«РОС»,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«РОС»,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«РОС»,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«РОС»,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«РОС»,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«РОС»,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«РОС»,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«РОС»,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«РОС»,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«РОС»,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«РОС»,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«РОС»,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«РОС»,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«РОС»,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«РОС»,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«РОС»,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«РОС»,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«РОС»,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«РОС»,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«РОС»,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«РОС»,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«РОС»,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«РОС»,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«РОС»,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«РОС»,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«РОС»,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«РОС»,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«РОС»,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«РОС»,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«РОС»,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«РОС»,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«РОС»,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4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«С1»,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«С1»,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«С1»,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«С1»,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«С1»,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«С1»,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«С1»,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«С1»,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«С1»,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«С1»,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«С1»,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«С1»,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«С1»,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«С1»,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«С1»,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«С1»,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«С1»,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«С1»,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«С1»,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«С1»,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«С1»,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«С1»,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«С1»,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«С1»,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«С1»,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«С1»,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«С1»,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«С1»,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«С1»,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«С1»,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«С1»,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«С1»,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«С1»,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«С1»,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«С1»,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«С1»,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«С1»,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«С1»,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«С1»,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«С1»,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«С1»,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«С1»,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«С1»,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«С1»,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«С1»,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«С1»,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«С1»,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«С1»,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«С1»,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«С1»,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«С1»,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«С1»,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«С1»,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«С1»,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«С1»,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«С1»,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«С1»,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«С1»,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«С1»,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«С1»,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«С1»,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«С1»,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«С1»,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«С1»,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«С1»,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«С1»,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«С1»,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«С1»,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«С1»,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«С1»,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5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«С3»,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«С3»,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«С3»,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«С3»,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«С3»,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«С3»,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«С3»,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«С3»,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«С3»,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«С3»,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«С3»,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«С3»,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«С3»,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«С3»,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«С3»,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«С3»,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«С3»,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«С3»,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«С3»,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«С3»,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«С3»,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«С3»,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«С3»,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«С3»,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«С3»,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«С3»,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«С3»,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«С3»,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«С3»,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«С3»,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«С3»,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«С3»,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«С3»,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«С3»,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«С3»,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«С3»,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«С3»,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«С3»,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«С3»,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«С3»,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«С3»,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«С3»,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«С3»,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«С3»,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«С3»,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«С3»,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«С3»,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«С3»,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«С3»,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«С3»,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«С3»,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«С3»,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«С3»,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«С3»,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«С3»,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«С3»,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«С3»,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«С3»,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«С3»,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«С3»,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«С3»,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«С3»,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«С3»,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«С3»,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«С3»,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«С3»,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«С3»,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«С3»,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«С3»,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«С3»,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6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«СНЕЖ»,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«СНЕЖ»,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«СНЕЖ»,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«СНЕЖ»,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«СНЕЖ»,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«СНЕЖ»,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«СНЕЖ»,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«СНЕЖ»,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«СНЕЖ»,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«СНЕЖ»,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«СНЕЖ»,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«СНЕЖ»,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«СНЕЖ»,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«СНЕЖ»,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«СНЕЖ»,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«СНЕЖ»,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«СНЕЖ»,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«СНЕЖ»,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«СНЕЖ»,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«СНЕЖ»,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«СНЕЖ»,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«СНЕЖ»,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«СНЕЖ»,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«СНЕЖ»,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«СНЕЖ»,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«СНЕЖ»,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«СНЕЖ»,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«СНЕЖ»,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«СНЕЖ»,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«СНЕЖ»,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«СНЕЖ»,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«СНЕЖ»,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«СНЕЖ»,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«СНЕЖ»,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«СНЕЖ»,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«СНЕЖ»,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«СНЕЖ»,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«СНЕЖ»,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«СНЕЖ»,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«СНЕЖ»,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«СНЕЖ»,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«СНЕЖ»,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«СНЕЖ»,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«СНЕЖ»,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«СНЕЖ»,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«СНЕЖ»,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«СНЕЖ»,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«СНЕЖ»,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«СНЕЖ»,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«СНЕЖ»,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«СНЕЖ»,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«СНЕЖ»,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«СНЕЖ»,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«СНЕЖ»,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«СНЕЖ»,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«СНЕЖ»,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«СНЕЖ»,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«СНЕЖ»,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«СНЕЖ»,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«СНЕЖ»,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«СНЕЖ»,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«СНЕЖ»,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«СНЕЖ»,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«СНЕЖ»,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«СНЕЖ»,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«СНЕЖ»,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«СНЕЖ»,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«СНЕЖ»,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«СНЕЖ»,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«СНЕЖ»,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comments/comment37.xml><?xml version="1.0" encoding="utf-8"?>
<comments xmlns="http://schemas.openxmlformats.org/spreadsheetml/2006/main">
  <authors>
    <author>Manus AI</author>
  </authors>
  <commentList>
    <comment ref="D25" authorId="0" shapeId="0">
      <text>
        <t>Источник: учет2026.xlsm, лист «УМБА», строка месячного итога 34, статья «Выручка». Период: Январь 2026. Значение извлечено без изменения исходной книги.</t>
      </text>
    </comment>
    <comment ref="E25" authorId="0" shapeId="0">
      <text>
        <t>Источник: учет2026.xlsm, лист «УМБА», строка месячного итога 34, статья «Закупка». Период: Январь 2026. Значение извлечено без изменения исходной книги.</t>
      </text>
    </comment>
    <comment ref="F25" authorId="0" shapeId="0">
      <text>
        <t>Источник: учет2026.xlsm, лист «УМБА», строка месячного итога 34, статья «Валовая прибыль». Период: Январь 2026. Значение извлечено без изменения исходной книги.</t>
      </text>
    </comment>
    <comment ref="G25" authorId="0" shapeId="0">
      <text>
        <t>Источник: учет2026.xlsm, лист «УМБА», строка месячного итога 34, статья «Валовая маржа». Период: Январь 2026. Значение извлечено без изменения исходной книги.</t>
      </text>
    </comment>
    <comment ref="H25" authorId="0" shapeId="0">
      <text>
        <t>Источник: учет2026.xlsm, лист «УМБА», строка месячного итога 34, статья «Чистая прибыль». Период: Январь 2026. Значение извлечено без изменения исходной книги.</t>
      </text>
    </comment>
    <comment ref="I25" authorId="0" shapeId="0">
      <text>
        <t>Источник: учет2026.xlsm, лист «УМБА», строка месячного итога 34, статья «Чистая маржа». Период: Январь 2026. Значение извлечено без изменения исходной книги.</t>
      </text>
    </comment>
    <comment ref="J25" authorId="0" shapeId="0">
      <text>
        <t>Источник: учет2026.xlsm, лист «УМБА», строка месячного итога 34, статья «Аренда». Период: Январь 2026. Значение извлечено без изменения исходной книги.</t>
      </text>
    </comment>
    <comment ref="K25" authorId="0" shapeId="0">
      <text>
        <t>Источник: учет2026.xlsm, лист «УМБА», строка месячного итога 34, статья «ФОТ и налоги». Период: Январь 2026. Значение извлечено без изменения исходной книги.</t>
      </text>
    </comment>
    <comment ref="L25" authorId="0" shapeId="0">
      <text>
        <t>Источник: учет2026.xlsm, лист «УМБА», строка месячного итога 34, статья «Списания». Период: Январь 2026. Значение извлечено без изменения исходной книги.</t>
      </text>
    </comment>
    <comment ref="M25" authorId="0" shapeId="0">
      <text>
        <t>Источник: учет2026.xlsm, лист «УМБА», строка месячного итога 34, статья «Траты наличные». Период: Январь 2026. Значение извлечено без изменения исходной книги.</t>
      </text>
    </comment>
    <comment ref="D26" authorId="0" shapeId="0">
      <text>
        <t>Источник: учет2026.xlsm, лист «УМБА», строка месячного итога 91, статья «Выручка». Период: Февраль 2026. Значение извлечено без изменения исходной книги.</t>
      </text>
    </comment>
    <comment ref="E26" authorId="0" shapeId="0">
      <text>
        <t>Источник: учет2026.xlsm, лист «УМБА», строка месячного итога 91, статья «Закупка». Период: Февраль 2026. Значение извлечено без изменения исходной книги.</t>
      </text>
    </comment>
    <comment ref="F26" authorId="0" shapeId="0">
      <text>
        <t>Источник: учет2026.xlsm, лист «УМБА», строка месячного итога 91, статья «Валовая прибыль». Период: Февраль 2026. Значение извлечено без изменения исходной книги.</t>
      </text>
    </comment>
    <comment ref="G26" authorId="0" shapeId="0">
      <text>
        <t>Источник: учет2026.xlsm, лист «УМБА», строка месячного итога 91, статья «Валовая маржа». Период: Февраль 2026. Значение извлечено без изменения исходной книги.</t>
      </text>
    </comment>
    <comment ref="H26" authorId="0" shapeId="0">
      <text>
        <t>Источник: учет2026.xlsm, лист «УМБА», строка месячного итога 91, статья «Чистая прибыль». Период: Февраль 2026. Значение извлечено без изменения исходной книги.</t>
      </text>
    </comment>
    <comment ref="I26" authorId="0" shapeId="0">
      <text>
        <t>Источник: учет2026.xlsm, лист «УМБА», строка месячного итога 91, статья «Чистая маржа». Период: Февраль 2026. Значение извлечено без изменения исходной книги.</t>
      </text>
    </comment>
    <comment ref="J26" authorId="0" shapeId="0">
      <text>
        <t>Источник: учет2026.xlsm, лист «УМБА», строка месячного итога 91, статья «Аренда». Период: Февраль 2026. Значение извлечено без изменения исходной книги.</t>
      </text>
    </comment>
    <comment ref="K26" authorId="0" shapeId="0">
      <text>
        <t>Источник: учет2026.xlsm, лист «УМБА», строка месячного итога 91, статья «ФОТ и налоги». Период: Февраль 2026. Значение извлечено без изменения исходной книги.</t>
      </text>
    </comment>
    <comment ref="L26" authorId="0" shapeId="0">
      <text>
        <t>Источник: учет2026.xlsm, лист «УМБА», строка месячного итога 91, статья «Списания». Период: Февраль 2026. Значение извлечено без изменения исходной книги.</t>
      </text>
    </comment>
    <comment ref="M26" authorId="0" shapeId="0">
      <text>
        <t>Источник: учет2026.xlsm, лист «УМБА», строка месячного итога 91, статья «Траты наличные». Период: Февраль 2026. Значение извлечено без изменения исходной книги.</t>
      </text>
    </comment>
    <comment ref="D27" authorId="0" shapeId="0">
      <text>
        <t>Источник: учет2026.xlsm, лист «УМБА», строка месячного итога 148, статья «Выручка». Период: Март 2026. Значение извлечено без изменения исходной книги.</t>
      </text>
    </comment>
    <comment ref="E27" authorId="0" shapeId="0">
      <text>
        <t>Источник: учет2026.xlsm, лист «УМБА», строка месячного итога 148, статья «Закупка». Период: Март 2026. Значение извлечено без изменения исходной книги.</t>
      </text>
    </comment>
    <comment ref="F27" authorId="0" shapeId="0">
      <text>
        <t>Источник: учет2026.xlsm, лист «УМБА», строка месячного итога 148, статья «Валовая прибыль». Период: Март 2026. Значение извлечено без изменения исходной книги.</t>
      </text>
    </comment>
    <comment ref="G27" authorId="0" shapeId="0">
      <text>
        <t>Источник: учет2026.xlsm, лист «УМБА», строка месячного итога 148, статья «Валовая маржа». Период: Март 2026. Значение извлечено без изменения исходной книги.</t>
      </text>
    </comment>
    <comment ref="H27" authorId="0" shapeId="0">
      <text>
        <t>Источник: учет2026.xlsm, лист «УМБА», строка месячного итога 148, статья «Чистая прибыль». Период: Март 2026. Значение извлечено без изменения исходной книги.</t>
      </text>
    </comment>
    <comment ref="I27" authorId="0" shapeId="0">
      <text>
        <t>Источник: учет2026.xlsm, лист «УМБА», строка месячного итога 148, статья «Чистая маржа». Период: Март 2026. Значение извлечено без изменения исходной книги.</t>
      </text>
    </comment>
    <comment ref="J27" authorId="0" shapeId="0">
      <text>
        <t>Источник: учет2026.xlsm, лист «УМБА», строка месячного итога 148, статья «Аренда». Период: Март 2026. Значение извлечено без изменения исходной книги.</t>
      </text>
    </comment>
    <comment ref="K27" authorId="0" shapeId="0">
      <text>
        <t>Источник: учет2026.xlsm, лист «УМБА», строка месячного итога 148, статья «ФОТ и налоги». Период: Март 2026. Значение извлечено без изменения исходной книги.</t>
      </text>
    </comment>
    <comment ref="L27" authorId="0" shapeId="0">
      <text>
        <t>Источник: учет2026.xlsm, лист «УМБА», строка месячного итога 148, статья «Списания». Период: Март 2026. Значение извлечено без изменения исходной книги.</t>
      </text>
    </comment>
    <comment ref="M27" authorId="0" shapeId="0">
      <text>
        <t>Источник: учет2026.xlsm, лист «УМБА», строка месячного итога 148, статья «Траты наличные». Период: Март 2026. Значение извлечено без изменения исходной книги.</t>
      </text>
    </comment>
    <comment ref="D28" authorId="0" shapeId="0">
      <text>
        <t>Источник: учет2026.xlsm, лист «УМБА», строка месячного итога 205, статья «Выручка». Период: Апрель 2026. Значение извлечено без изменения исходной книги.</t>
      </text>
    </comment>
    <comment ref="E28" authorId="0" shapeId="0">
      <text>
        <t>Источник: учет2026.xlsm, лист «УМБА», строка месячного итога 205, статья «Закупка». Период: Апрель 2026. Значение извлечено без изменения исходной книги.</t>
      </text>
    </comment>
    <comment ref="F28" authorId="0" shapeId="0">
      <text>
        <t>Источник: учет2026.xlsm, лист «УМБА», строка месячного итога 205, статья «Валовая прибыль». Период: Апрель 2026. Значение извлечено без изменения исходной книги.</t>
      </text>
    </comment>
    <comment ref="G28" authorId="0" shapeId="0">
      <text>
        <t>Источник: учет2026.xlsm, лист «УМБА», строка месячного итога 205, статья «Валовая маржа». Период: Апрель 2026. Значение извлечено без изменения исходной книги.</t>
      </text>
    </comment>
    <comment ref="H28" authorId="0" shapeId="0">
      <text>
        <t>Источник: учет2026.xlsm, лист «УМБА», строка месячного итога 205, статья «Чистая прибыль». Период: Апрель 2026. Значение извлечено без изменения исходной книги.</t>
      </text>
    </comment>
    <comment ref="I28" authorId="0" shapeId="0">
      <text>
        <t>Источник: учет2026.xlsm, лист «УМБА», строка месячного итога 205, статья «Чистая маржа». Период: Апрель 2026. Значение извлечено без изменения исходной книги.</t>
      </text>
    </comment>
    <comment ref="J28" authorId="0" shapeId="0">
      <text>
        <t>Источник: учет2026.xlsm, лист «УМБА», строка месячного итога 205, статья «Аренда». Период: Апрель 2026. Значение извлечено без изменения исходной книги.</t>
      </text>
    </comment>
    <comment ref="K28" authorId="0" shapeId="0">
      <text>
        <t>Источник: учет2026.xlsm, лист «УМБА», строка месячного итога 205, статья «ФОТ и налоги». Период: Апрель 2026. Значение извлечено без изменения исходной книги.</t>
      </text>
    </comment>
    <comment ref="L28" authorId="0" shapeId="0">
      <text>
        <t>Источник: учет2026.xlsm, лист «УМБА», строка месячного итога 205, статья «Списания». Период: Апрель 2026. Значение извлечено без изменения исходной книги.</t>
      </text>
    </comment>
    <comment ref="M28" authorId="0" shapeId="0">
      <text>
        <t>Источник: учет2026.xlsm, лист «УМБА», строка месячного итога 205, статья «Траты наличные». Период: Апрель 2026. Значение извлечено без изменения исходной книги.</t>
      </text>
    </comment>
    <comment ref="D29" authorId="0" shapeId="0">
      <text>
        <t>Источник: учет2026.xlsm, лист «УМБА», строка месячного итога 262, статья «Выручка». Период: Май 2026. Значение извлечено без изменения исходной книги.</t>
      </text>
    </comment>
    <comment ref="E29" authorId="0" shapeId="0">
      <text>
        <t>Источник: учет2026.xlsm, лист «УМБА», строка месячного итога 262, статья «Закупка». Период: Май 2026. Значение извлечено без изменения исходной книги.</t>
      </text>
    </comment>
    <comment ref="F29" authorId="0" shapeId="0">
      <text>
        <t>Источник: учет2026.xlsm, лист «УМБА», строка месячного итога 262, статья «Валовая прибыль». Период: Май 2026. Значение извлечено без изменения исходной книги.</t>
      </text>
    </comment>
    <comment ref="G29" authorId="0" shapeId="0">
      <text>
        <t>Источник: учет2026.xlsm, лист «УМБА», строка месячного итога 262, статья «Валовая маржа». Период: Май 2026. Значение извлечено без изменения исходной книги.</t>
      </text>
    </comment>
    <comment ref="H29" authorId="0" shapeId="0">
      <text>
        <t>Источник: учет2026.xlsm, лист «УМБА», строка месячного итога 262, статья «Чистая прибыль». Период: Май 2026. Значение извлечено без изменения исходной книги.</t>
      </text>
    </comment>
    <comment ref="I29" authorId="0" shapeId="0">
      <text>
        <t>Источник: учет2026.xlsm, лист «УМБА», строка месячного итога 262, статья «Чистая маржа». Период: Май 2026. Значение извлечено без изменения исходной книги.</t>
      </text>
    </comment>
    <comment ref="J29" authorId="0" shapeId="0">
      <text>
        <t>Источник: учет2026.xlsm, лист «УМБА», строка месячного итога 262, статья «Аренда». Период: Май 2026. Значение извлечено без изменения исходной книги.</t>
      </text>
    </comment>
    <comment ref="K29" authorId="0" shapeId="0">
      <text>
        <t>Источник: учет2026.xlsm, лист «УМБА», строка месячного итога 262, статья «ФОТ и налоги». Период: Май 2026. Значение извлечено без изменения исходной книги.</t>
      </text>
    </comment>
    <comment ref="L29" authorId="0" shapeId="0">
      <text>
        <t>Источник: учет2026.xlsm, лист «УМБА», строка месячного итога 262, статья «Списания». Период: Май 2026. Значение извлечено без изменения исходной книги.</t>
      </text>
    </comment>
    <comment ref="M29" authorId="0" shapeId="0">
      <text>
        <t>Источник: учет2026.xlsm, лист «УМБА», строка месячного итога 262, статья «Траты наличные». Период: Май 2026. Значение извлечено без изменения исходной книги.</t>
      </text>
    </comment>
    <comment ref="D30" authorId="0" shapeId="0">
      <text>
        <t>Источник: учет2026.xlsm, лист «УМБА», строка месячного итога 319, статья «Выручка». Период: Июнь 2026. Значение извлечено без изменения исходной книги.</t>
      </text>
    </comment>
    <comment ref="E30" authorId="0" shapeId="0">
      <text>
        <t>Источник: учет2026.xlsm, лист «УМБА», строка месячного итога 319, статья «Закупка». Период: Июнь 2026. Значение извлечено без изменения исходной книги.</t>
      </text>
    </comment>
    <comment ref="F30" authorId="0" shapeId="0">
      <text>
        <t>Источник: учет2026.xlsm, лист «УМБА», строка месячного итога 319, статья «Валовая прибыль». Период: Июнь 2026. Значение извлечено без изменения исходной книги.</t>
      </text>
    </comment>
    <comment ref="G30" authorId="0" shapeId="0">
      <text>
        <t>Источник: учет2026.xlsm, лист «УМБА», строка месячного итога 319, статья «Валовая маржа». Период: Июнь 2026. Значение извлечено без изменения исходной книги.</t>
      </text>
    </comment>
    <comment ref="H30" authorId="0" shapeId="0">
      <text>
        <t>Источник: учет2026.xlsm, лист «УМБА», строка месячного итога 319, статья «Чистая прибыль». Период: Июнь 2026. Значение извлечено без изменения исходной книги.</t>
      </text>
    </comment>
    <comment ref="I30" authorId="0" shapeId="0">
      <text>
        <t>Источник: учет2026.xlsm, лист «УМБА», строка месячного итога 319, статья «Чистая маржа». Период: Июнь 2026. Значение извлечено без изменения исходной книги.</t>
      </text>
    </comment>
    <comment ref="J30" authorId="0" shapeId="0">
      <text>
        <t>Источник: учет2026.xlsm, лист «УМБА», строка месячного итога 319, статья «Аренда». Период: Июнь 2026. Значение извлечено без изменения исходной книги.</t>
      </text>
    </comment>
    <comment ref="K30" authorId="0" shapeId="0">
      <text>
        <t>Источник: учет2026.xlsm, лист «УМБА», строка месячного итога 319, статья «ФОТ и налоги». Период: Июнь 2026. Значение извлечено без изменения исходной книги.</t>
      </text>
    </comment>
    <comment ref="L30" authorId="0" shapeId="0">
      <text>
        <t>Источник: учет2026.xlsm, лист «УМБА», строка месячного итога 319, статья «Списания». Период: Июнь 2026. Значение извлечено без изменения исходной книги.</t>
      </text>
    </comment>
    <comment ref="M30" authorId="0" shapeId="0">
      <text>
        <t>Источник: учет2026.xlsm, лист «УМБА», строка месячного итога 319, статья «Траты наличные». Период: Июнь 2026. Значение извлечено без изменения исходной книги.</t>
      </text>
    </comment>
    <comment ref="D31" authorId="0" shapeId="0">
      <text>
        <t>Источник: учет2026.xlsm, лист «УМБА», строка месячного итога 376, статья «Выручка». Период: Июль 2026. Значение извлечено без изменения исходной книги.</t>
      </text>
    </comment>
    <comment ref="E31" authorId="0" shapeId="0">
      <text>
        <t>Источник: учет2026.xlsm, лист «УМБА», строка месячного итога 376, статья «Закупка». Период: Июль 2026. Значение извлечено без изменения исходной книги.</t>
      </text>
    </comment>
    <comment ref="F31" authorId="0" shapeId="0">
      <text>
        <t>Источник: учет2026.xlsm, лист «УМБА», строка месячного итога 376, статья «Валовая прибыль». Период: Июль 2026. Значение извлечено без изменения исходной книги.</t>
      </text>
    </comment>
    <comment ref="G31" authorId="0" shapeId="0">
      <text>
        <t>Источник: учет2026.xlsm, лист «УМБА», строка месячного итога 376, статья «Валовая маржа». Период: Июль 2026. Значение извлечено без изменения исходной книги.</t>
      </text>
    </comment>
    <comment ref="H31" authorId="0" shapeId="0">
      <text>
        <t>Источник: учет2026.xlsm, лист «УМБА», строка месячного итога 376, статья «Чистая прибыль». Период: Июль 2026. Значение извлечено без изменения исходной книги.</t>
      </text>
    </comment>
    <comment ref="I31" authorId="0" shapeId="0">
      <text>
        <t>Источник: учет2026.xlsm, лист «УМБА», строка месячного итога 376, статья «Чистая маржа». Период: Июль 2026. Значение извлечено без изменения исходной книги.</t>
      </text>
    </comment>
    <comment ref="J31" authorId="0" shapeId="0">
      <text>
        <t>Источник: учет2026.xlsm, лист «УМБА», строка месячного итога 376, статья «Аренда». Период: Июль 2026. Значение извлечено без изменения исходной книги.</t>
      </text>
    </comment>
    <comment ref="K31" authorId="0" shapeId="0">
      <text>
        <t>Источник: учет2026.xlsm, лист «УМБА», строка месячного итога 376, статья «ФОТ и налоги». Период: Июль 2026. Значение извлечено без изменения исходной книги.</t>
      </text>
    </comment>
    <comment ref="L31" authorId="0" shapeId="0">
      <text>
        <t>Источник: учет2026.xlsm, лист «УМБА», строка месячного итога 376, статья «Списания». Период: Июль 2026. Значение извлечено без изменения исходной книги.</t>
      </text>
    </comment>
    <comment ref="M31" authorId="0" shapeId="0">
      <text>
        <t>Источник: учет2026.xlsm, лист «УМБА», строка месячного итога 376, статья «Траты наличные». Период: Июль 2026. Значение извлечено без изменения исходной книги.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8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12</col>
      <colOff>0</colOff>
      <row>23</row>
      <rowOff>0</rowOff>
    </from>
    <ext cx="511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9.xm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1.xml" Id="rId1"/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2.xml" Id="rId1"/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3.xml" Id="rId1"/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4.xml" Id="rId1"/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5.xml" Id="rId1"/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6.xml" Id="rId1"/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7.xml" Id="rId1"/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8.xml" Id="rId1"/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9.xml" Id="rId1"/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0.xml" Id="rId1"/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1.xml" Id="rId1"/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2.xml" Id="rId1"/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3.xml" Id="rId1"/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4.xml" Id="rId1"/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5.xml" Id="rId1"/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M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10" customWidth="1" min="4" max="4"/>
    <col width="12" customWidth="1" min="5" max="5"/>
    <col width="23" customWidth="1" min="6" max="6"/>
    <col width="21" customWidth="1" min="7" max="7"/>
    <col width="10" customWidth="1" min="8" max="8"/>
    <col width="34" customWidth="1" min="9" max="9"/>
    <col width="10" customWidth="1" min="10" max="10"/>
    <col width="12" customWidth="1" min="11" max="11"/>
    <col width="21" customWidth="1" min="12" max="12"/>
    <col width="22" customWidth="1" min="13" max="13"/>
  </cols>
  <sheetData>
    <row r="1" ht="8" customHeight="1"/>
    <row r="2" ht="8" customHeight="1"/>
    <row r="3" ht="27" customHeight="1">
      <c r="C3" s="1" t="inlineStr">
        <is>
          <t>Супер-отчет: аудит прибыли розничной сети</t>
        </is>
      </c>
    </row>
    <row r="4"/>
    <row r="5" ht="30" customHeight="1">
      <c r="C5" s="2" t="inlineStr">
        <is>
          <t>Управленческий и инвесторский пакет по данным «учет2026.xlsm» | Фактические данные: январь–июль 2026 | Исключены РЕЗ*, АЛА и С2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Главный вывод</t>
        </is>
      </c>
    </row>
    <row r="9" ht="45" customHeight="1">
      <c r="C9" s="5" t="inlineStr">
        <is>
          <t>Сеть сформировала чистую прибыль 26.9 млн руб. при выручке 579.1 млн руб. и чистой марже 4.6%. 12 из 34 сопоставимых магазинов убыточны и аккумулируют 4.7 млн руб. убытка. Расчеты ограничены январем–июлем; РЕЗ*, АЛА и С2 исключены из базы.</t>
        </is>
      </c>
    </row>
    <row r="10"/>
    <row r="11"/>
    <row r="12" ht="20" customHeight="1">
      <c r="C12" s="4" t="inlineStr">
        <is>
          <t>Ключевые показатели сети</t>
        </is>
      </c>
    </row>
    <row r="13">
      <c r="C13" s="6" t="inlineStr">
        <is>
          <t>Выручка</t>
        </is>
      </c>
      <c r="D13" s="7" t="n"/>
      <c r="F13" s="6" t="inlineStr">
        <is>
          <t>Валовая прибыль</t>
        </is>
      </c>
      <c r="G13" s="7" t="n"/>
      <c r="I13" s="6" t="inlineStr">
        <is>
          <t>Чистая прибыль</t>
        </is>
      </c>
      <c r="J13" s="7" t="n"/>
    </row>
    <row r="14">
      <c r="C14" s="8" t="n">
        <v>579120675</v>
      </c>
      <c r="D14" s="7" t="n"/>
      <c r="F14" s="8" t="n">
        <v>149300660</v>
      </c>
      <c r="G14" s="7" t="n"/>
      <c r="I14" s="8" t="n">
        <v>26867427.4</v>
      </c>
      <c r="J14" s="7" t="n"/>
    </row>
    <row r="15"/>
    <row r="16">
      <c r="C16" s="6" t="inlineStr">
        <is>
          <t>Валовая маржа</t>
        </is>
      </c>
      <c r="D16" s="7" t="n"/>
      <c r="F16" s="6" t="inlineStr">
        <is>
          <t>Чистая рентабельность</t>
        </is>
      </c>
      <c r="G16" s="7" t="n"/>
      <c r="I16" s="6" t="inlineStr">
        <is>
          <t>Сопоставимых убыточных магазинов</t>
        </is>
      </c>
      <c r="J16" s="7" t="n"/>
    </row>
    <row r="17">
      <c r="C17" s="9" t="n">
        <v>0.2578057846061186</v>
      </c>
      <c r="D17" s="7" t="n"/>
      <c r="F17" s="9" t="n">
        <v>0.04639348681516162</v>
      </c>
      <c r="G17" s="7" t="n"/>
      <c r="I17" s="10" t="n">
        <v>12</v>
      </c>
      <c r="J17" s="7" t="n"/>
    </row>
    <row r="18"/>
    <row r="19"/>
    <row r="20" ht="20" customHeight="1">
      <c r="C20" s="4" t="inlineStr">
        <is>
          <t>Топ-3 по чистой прибыли и антирейтинг</t>
        </is>
      </c>
    </row>
    <row r="21">
      <c r="C21" s="11" t="inlineStr">
        <is>
          <t>Лидеры</t>
        </is>
      </c>
      <c r="I21" s="11" t="inlineStr">
        <is>
          <t>Антирейтинг</t>
        </is>
      </c>
    </row>
    <row r="22" ht="30" customHeight="1">
      <c r="C22" s="12" t="inlineStr">
        <is>
          <t>Место</t>
        </is>
      </c>
      <c r="D22" s="12" t="inlineStr">
        <is>
          <t>Магазин</t>
        </is>
      </c>
      <c r="E22" s="12" t="inlineStr">
        <is>
          <t>Выручка</t>
        </is>
      </c>
      <c r="F22" s="12" t="inlineStr">
        <is>
          <t>Чистая прибыль</t>
        </is>
      </c>
      <c r="G22" s="12" t="inlineStr">
        <is>
          <t>Чистая маржа</t>
        </is>
      </c>
      <c r="I22" s="12" t="inlineStr">
        <is>
          <t>Место</t>
        </is>
      </c>
      <c r="J22" s="12" t="inlineStr">
        <is>
          <t>Магазин</t>
        </is>
      </c>
      <c r="K22" s="12" t="inlineStr">
        <is>
          <t>Выручка</t>
        </is>
      </c>
      <c r="L22" s="12" t="inlineStr">
        <is>
          <t>Чистая прибыль</t>
        </is>
      </c>
      <c r="M22" s="12" t="inlineStr">
        <is>
          <t>Чистая маржа</t>
        </is>
      </c>
    </row>
    <row r="23">
      <c r="C23" s="13" t="n">
        <v>1</v>
      </c>
      <c r="D23" s="14" t="inlineStr">
        <is>
          <t>ПОРТ</t>
        </is>
      </c>
      <c r="E23" s="15" t="n">
        <v>87824981</v>
      </c>
      <c r="F23" s="15" t="n">
        <v>7508827.7</v>
      </c>
      <c r="G23" s="16" t="n">
        <v>0.08549762965505225</v>
      </c>
      <c r="I23" s="13" t="n">
        <v>1</v>
      </c>
      <c r="J23" s="14" t="inlineStr">
        <is>
          <t>Н95</t>
        </is>
      </c>
      <c r="K23" s="15" t="n">
        <v>11762112</v>
      </c>
      <c r="L23" s="17" t="n">
        <v>-980941.98</v>
      </c>
      <c r="M23" s="16" t="n">
        <v>-0.08339845599157703</v>
      </c>
    </row>
    <row r="24">
      <c r="C24" s="13" t="n">
        <v>2</v>
      </c>
      <c r="D24" s="14" t="inlineStr">
        <is>
          <t>КИР1</t>
        </is>
      </c>
      <c r="E24" s="15" t="n">
        <v>42387814</v>
      </c>
      <c r="F24" s="15" t="n">
        <v>4330107.74</v>
      </c>
      <c r="G24" s="16" t="n">
        <v>0.1021545423408718</v>
      </c>
      <c r="I24" s="13" t="n">
        <v>2</v>
      </c>
      <c r="J24" s="14" t="inlineStr">
        <is>
          <t>НИК</t>
        </is>
      </c>
      <c r="K24" s="15" t="n">
        <v>8944783</v>
      </c>
      <c r="L24" s="17" t="n">
        <v>-688112.38</v>
      </c>
      <c r="M24" s="16" t="n">
        <v>-0.0769289070511828</v>
      </c>
    </row>
    <row r="25">
      <c r="C25" s="13" t="n">
        <v>3</v>
      </c>
      <c r="D25" s="14" t="inlineStr">
        <is>
          <t>А2</t>
        </is>
      </c>
      <c r="E25" s="15" t="n">
        <v>39154723</v>
      </c>
      <c r="F25" s="15" t="n">
        <v>4167854.66</v>
      </c>
      <c r="G25" s="16" t="n">
        <v>0.1064457705396103</v>
      </c>
      <c r="I25" s="13" t="n">
        <v>3</v>
      </c>
      <c r="J25" s="14" t="inlineStr">
        <is>
          <t>С3</t>
        </is>
      </c>
      <c r="K25" s="15" t="n">
        <v>7174722</v>
      </c>
      <c r="L25" s="17" t="n">
        <v>-480993.42</v>
      </c>
      <c r="M25" s="16" t="n">
        <v>-0.06704000796128408</v>
      </c>
    </row>
    <row r="26"/>
    <row r="27"/>
    <row r="28" ht="20" customHeight="1">
      <c r="C28" s="4" t="inlineStr">
        <is>
          <t>Контроль качества расчетов</t>
        </is>
      </c>
    </row>
    <row r="29">
      <c r="C29" s="13" t="inlineStr">
        <is>
          <t>Магазинных листов проверено</t>
        </is>
      </c>
      <c r="D29" s="18" t="n">
        <v>34</v>
      </c>
    </row>
    <row r="30">
      <c r="C30" s="13" t="inlineStr">
        <is>
          <t>Месячных P&amp;L-блоков проверено</t>
        </is>
      </c>
      <c r="D30" s="18" t="n">
        <v>516</v>
      </c>
    </row>
    <row r="31">
      <c r="C31" s="13" t="inlineStr">
        <is>
          <t>Формульных ячеек сравнено</t>
        </is>
      </c>
      <c r="D31" s="18" t="n">
        <v>310723</v>
      </c>
    </row>
    <row r="32">
      <c r="C32" s="13" t="inlineStr">
        <is>
          <t>Ошибок пересчета</t>
        </is>
      </c>
      <c r="D32" s="18" t="n">
        <v>0</v>
      </c>
    </row>
    <row r="33">
      <c r="C33" s="13" t="inlineStr">
        <is>
          <t>Расхождений &gt; 0,15 руб.</t>
        </is>
      </c>
      <c r="D33" s="18" t="n">
        <v>0</v>
      </c>
    </row>
    <row r="34"/>
    <row r="35" ht="32" customHeight="1">
      <c r="C35" s="19" t="inlineStr">
        <is>
          <t>Формулы всех исходных листов-магазинов проверены ранее по полному файлу: ошибок и расхождений после независимого пересчета выше 0,15 руб. не выявлено. В текущем срезе РЕЗ* исключены по поручению пользователя.</t>
        </is>
      </c>
    </row>
    <row r="36"/>
  </sheetData>
  <mergeCells count="23">
    <mergeCell ref="F16:G16"/>
    <mergeCell ref="C14:D14"/>
    <mergeCell ref="C12:K12"/>
    <mergeCell ref="C16:D16"/>
    <mergeCell ref="I16:J16"/>
    <mergeCell ref="C8:K8"/>
    <mergeCell ref="F17:G17"/>
    <mergeCell ref="C21:G21"/>
    <mergeCell ref="I21:M21"/>
    <mergeCell ref="C28:K28"/>
    <mergeCell ref="C35:K36"/>
    <mergeCell ref="C9:K10"/>
    <mergeCell ref="C3:K3"/>
    <mergeCell ref="I14:J14"/>
    <mergeCell ref="F13:G13"/>
    <mergeCell ref="C17:D17"/>
    <mergeCell ref="I17:J17"/>
    <mergeCell ref="C6:K6"/>
    <mergeCell ref="C5:K5"/>
    <mergeCell ref="C13:D13"/>
    <mergeCell ref="F14:G14"/>
    <mergeCell ref="I13:J13"/>
    <mergeCell ref="C20:K20"/>
  </mergeCells>
  <printOptions horizontalCentered="0"/>
  <pageMargins left="0.75" right="0.75" top="1" bottom="1" header="0.5" footer="0.5"/>
  <pageSetup orientation="landscape" fitToHeight="0" fitToWidth="1"/>
  <headerFooter>
    <oddHeader/>
    <oddFooter>&amp;C00_Главный_дашборд |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K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12" customWidth="1" min="4" max="4"/>
    <col width="20" customWidth="1" min="5" max="5"/>
    <col width="52" customWidth="1" min="6" max="6"/>
    <col width="13" customWidth="1" min="7" max="7"/>
    <col width="20" customWidth="1" min="8" max="8"/>
    <col width="22" customWidth="1" min="9" max="9"/>
    <col width="15" customWidth="1" min="10" max="10"/>
    <col width="10" customWidth="1" min="11" max="11"/>
  </cols>
  <sheetData>
    <row r="1" ht="8" customHeight="1"/>
    <row r="2" ht="8" customHeight="1"/>
    <row r="3" ht="27" customHeight="1">
      <c r="C3" s="1" t="inlineStr">
        <is>
          <t>Помесячная динамика сети</t>
        </is>
      </c>
    </row>
    <row r="4"/>
    <row r="5" ht="30" customHeight="1">
      <c r="C5" s="2" t="inlineStr">
        <is>
          <t>Фактическая динамика продаж, валовой и чистой прибыли | Период анализа: январь–июль 2026 | Исключены РЕЗ*, АЛА и С2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Консолидированная динамика</t>
        </is>
      </c>
    </row>
    <row r="9" ht="30" customHeight="1">
      <c r="C9" s="12" t="inlineStr">
        <is>
          <t>Месяц</t>
        </is>
      </c>
      <c r="D9" s="12" t="inlineStr">
        <is>
          <t>Выручка</t>
        </is>
      </c>
      <c r="E9" s="12" t="inlineStr">
        <is>
          <t>Валовая прибыль</t>
        </is>
      </c>
      <c r="F9" s="12" t="inlineStr">
        <is>
          <t>Валовая маржа</t>
        </is>
      </c>
      <c r="G9" s="12" t="inlineStr">
        <is>
          <t>Расходы</t>
        </is>
      </c>
      <c r="H9" s="12" t="inlineStr">
        <is>
          <t>Чистая прибыль</t>
        </is>
      </c>
      <c r="I9" s="12" t="inlineStr">
        <is>
          <t>Чистая маржа</t>
        </is>
      </c>
      <c r="J9" s="12" t="inlineStr">
        <is>
          <t>Статус данных</t>
        </is>
      </c>
    </row>
    <row r="10">
      <c r="C10" s="13" t="inlineStr">
        <is>
          <t>Январь</t>
        </is>
      </c>
      <c r="D10" s="15" t="n">
        <v>77748965</v>
      </c>
      <c r="E10" s="15" t="n">
        <v>20935481</v>
      </c>
      <c r="F10" s="13" t="n">
        <v>0.2692702211534263</v>
      </c>
      <c r="G10" s="15" t="n">
        <v>72416477.2</v>
      </c>
      <c r="H10" s="15" t="n">
        <v>5332487.8</v>
      </c>
      <c r="I10" s="13" t="n">
        <v>0.06858596509934248</v>
      </c>
      <c r="J10" s="13" t="inlineStr">
        <is>
          <t>Факт</t>
        </is>
      </c>
    </row>
    <row r="11">
      <c r="C11" s="13" t="inlineStr">
        <is>
          <t>Февраль</t>
        </is>
      </c>
      <c r="D11" s="15" t="n">
        <v>85587769</v>
      </c>
      <c r="E11" s="15" t="n">
        <v>22980663</v>
      </c>
      <c r="F11" s="13" t="n">
        <v>0.268504054592193</v>
      </c>
      <c r="G11" s="15" t="n">
        <v>80272680.3</v>
      </c>
      <c r="H11" s="15" t="n">
        <v>5315088.699999999</v>
      </c>
      <c r="I11" s="13" t="n">
        <v>0.06210103104802275</v>
      </c>
      <c r="J11" s="13" t="inlineStr">
        <is>
          <t>Факт</t>
        </is>
      </c>
    </row>
    <row r="12">
      <c r="C12" s="13" t="inlineStr">
        <is>
          <t>Март</t>
        </is>
      </c>
      <c r="D12" s="15" t="n">
        <v>96126487</v>
      </c>
      <c r="E12" s="15" t="n">
        <v>25615203</v>
      </c>
      <c r="F12" s="13" t="n">
        <v>0.2664739324136541</v>
      </c>
      <c r="G12" s="15" t="n">
        <v>89407614.18000001</v>
      </c>
      <c r="H12" s="15" t="n">
        <v>6718872.82</v>
      </c>
      <c r="I12" s="13" t="n">
        <v>0.06989616524735789</v>
      </c>
      <c r="J12" s="13" t="inlineStr">
        <is>
          <t>Факт</t>
        </is>
      </c>
    </row>
    <row r="13">
      <c r="C13" s="13" t="inlineStr">
        <is>
          <t>Апрель</t>
        </is>
      </c>
      <c r="D13" s="15" t="n">
        <v>90706306</v>
      </c>
      <c r="E13" s="15" t="n">
        <v>23232317</v>
      </c>
      <c r="F13" s="13" t="n">
        <v>0.2561268121755504</v>
      </c>
      <c r="G13" s="15" t="n">
        <v>86202696.2</v>
      </c>
      <c r="H13" s="15" t="n">
        <v>4503609.8</v>
      </c>
      <c r="I13" s="13" t="n">
        <v>0.04965045980375388</v>
      </c>
      <c r="J13" s="13" t="inlineStr">
        <is>
          <t>Факт</t>
        </is>
      </c>
    </row>
    <row r="14">
      <c r="C14" s="13" t="inlineStr">
        <is>
          <t>Май</t>
        </is>
      </c>
      <c r="D14" s="15" t="n">
        <v>76188525</v>
      </c>
      <c r="E14" s="15" t="n">
        <v>19203841</v>
      </c>
      <c r="F14" s="13" t="n">
        <v>0.2520568681438576</v>
      </c>
      <c r="G14" s="15" t="n">
        <v>74869161.95999999</v>
      </c>
      <c r="H14" s="15" t="n">
        <v>1319363.04</v>
      </c>
      <c r="I14" s="13" t="n">
        <v>0.01731708337968218</v>
      </c>
      <c r="J14" s="13" t="inlineStr">
        <is>
          <t>Факт</t>
        </is>
      </c>
    </row>
    <row r="15">
      <c r="C15" s="13" t="inlineStr">
        <is>
          <t>Июнь</t>
        </is>
      </c>
      <c r="D15" s="15" t="n">
        <v>75562756</v>
      </c>
      <c r="E15" s="15" t="n">
        <v>18845170</v>
      </c>
      <c r="F15" s="13" t="n">
        <v>0.2493976000557735</v>
      </c>
      <c r="G15" s="15" t="n">
        <v>73092237.95999999</v>
      </c>
      <c r="H15" s="15" t="n">
        <v>2470518.040000001</v>
      </c>
      <c r="I15" s="13" t="n">
        <v>0.03269491705675744</v>
      </c>
      <c r="J15" s="13" t="inlineStr">
        <is>
          <t>Факт</t>
        </is>
      </c>
    </row>
    <row r="16">
      <c r="C16" s="20" t="inlineStr">
        <is>
          <t>Июль</t>
        </is>
      </c>
      <c r="D16" s="21" t="n">
        <v>77199867</v>
      </c>
      <c r="E16" s="21" t="n">
        <v>18487985</v>
      </c>
      <c r="F16" s="20" t="n">
        <v>0.2394820835636932</v>
      </c>
      <c r="G16" s="21" t="n">
        <v>75992379.8</v>
      </c>
      <c r="H16" s="21" t="n">
        <v>1207487.2</v>
      </c>
      <c r="I16" s="20" t="n">
        <v>0.01564105285310919</v>
      </c>
      <c r="J16" s="20" t="inlineStr">
        <is>
          <t>Факт</t>
        </is>
      </c>
    </row>
    <row r="17"/>
    <row r="18"/>
    <row r="19"/>
    <row r="20"/>
    <row r="21"/>
    <row r="22" ht="20" customHeight="1">
      <c r="C22" s="4" t="inlineStr">
        <is>
          <t>Сезонные сигналы и контроль закрытия</t>
        </is>
      </c>
    </row>
    <row r="23" ht="30" customHeight="1">
      <c r="C23" s="12" t="inlineStr">
        <is>
          <t>Сигнал</t>
        </is>
      </c>
      <c r="D23" s="12" t="inlineStr">
        <is>
          <t>Месяц</t>
        </is>
      </c>
      <c r="E23" s="12" t="inlineStr">
        <is>
          <t>Значение</t>
        </is>
      </c>
      <c r="F23" s="12" t="inlineStr">
        <is>
          <t>Управленческий вывод</t>
        </is>
      </c>
    </row>
    <row r="24" ht="38" customHeight="1">
      <c r="C24" s="14" t="inlineStr">
        <is>
          <t>Пик прибыли</t>
        </is>
      </c>
      <c r="D24" s="13" t="inlineStr">
        <is>
          <t>Март</t>
        </is>
      </c>
      <c r="E24" s="15" t="n">
        <v>6718872.82</v>
      </c>
      <c r="F24" s="22" t="inlineStr">
        <is>
          <t>Чистая маржа 7.0%; самый сильный месяц очищенного периода.</t>
        </is>
      </c>
    </row>
    <row r="25" ht="38" customHeight="1">
      <c r="C25" s="14" t="inlineStr">
        <is>
          <t>Провал прибыли</t>
        </is>
      </c>
      <c r="D25" s="13" t="inlineStr">
        <is>
          <t>Июль</t>
        </is>
      </c>
      <c r="E25" s="15" t="n">
        <v>1207487.2</v>
      </c>
      <c r="F25" s="22" t="inlineStr">
        <is>
          <t>Чистая маржа 1.6%; требуется усиленный контроль закупочной маржи и переменных расходов.</t>
        </is>
      </c>
    </row>
    <row r="26" ht="38" customHeight="1">
      <c r="C26" s="14" t="inlineStr">
        <is>
          <t>Снижение валовой маржи</t>
        </is>
      </c>
      <c r="D26" s="13" t="inlineStr">
        <is>
          <t>Июль</t>
        </is>
      </c>
      <c r="E26" s="16" t="n">
        <v>0.2394820835636932</v>
      </c>
      <c r="F26" s="22" t="inlineStr">
        <is>
          <t>Валовая маржа 23,9% против 26,6% в марте: приоритет — закупочная цена, уценка и ассортиментная матрица.</t>
        </is>
      </c>
    </row>
  </sheetData>
  <mergeCells count="5">
    <mergeCell ref="C5:K5"/>
    <mergeCell ref="C22:K22"/>
    <mergeCell ref="C3:K3"/>
    <mergeCell ref="C8:K8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&amp;C01_Сеть_месяцы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L5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10" customWidth="1" min="4" max="4"/>
    <col width="36" customWidth="1" min="5" max="5"/>
    <col width="17" customWidth="1" min="6" max="6"/>
    <col width="21" customWidth="1" min="7" max="7"/>
    <col width="21" customWidth="1" min="8" max="8"/>
    <col width="19" customWidth="1" min="9" max="9"/>
    <col width="14" customWidth="1" min="10" max="10"/>
    <col width="21" customWidth="1" min="11" max="11"/>
    <col width="34" customWidth="1" min="12" max="12"/>
  </cols>
  <sheetData>
    <row r="1" ht="8" customHeight="1"/>
    <row r="2" ht="8" customHeight="1"/>
    <row r="3" ht="27" customHeight="1">
      <c r="C3" s="1" t="inlineStr">
        <is>
          <t>Рейтинг магазинов по чистой прибыли</t>
        </is>
      </c>
    </row>
    <row r="4"/>
    <row r="5" ht="30" customHeight="1">
      <c r="C5" s="2" t="inlineStr">
        <is>
          <t>Сопоставимый рейтинг: январь–июль 2026 | Исключены РЕЗ*, АЛА и С2 по поручению пользователя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Сопоставимые магазины</t>
        </is>
      </c>
    </row>
    <row r="9" ht="30" customHeight="1">
      <c r="C9" s="12" t="inlineStr">
        <is>
          <t>№</t>
        </is>
      </c>
      <c r="D9" s="12" t="inlineStr">
        <is>
          <t>Магазин</t>
        </is>
      </c>
      <c r="E9" s="12" t="inlineStr">
        <is>
          <t>Выручка</t>
        </is>
      </c>
      <c r="F9" s="12" t="inlineStr">
        <is>
          <t>Валовая прибыль</t>
        </is>
      </c>
      <c r="G9" s="12" t="inlineStr">
        <is>
          <t>Чистая прибыль</t>
        </is>
      </c>
      <c r="H9" s="12" t="inlineStr">
        <is>
          <t>Чистая маржа</t>
        </is>
      </c>
      <c r="I9" s="12" t="inlineStr">
        <is>
          <t>Убыточных месяцев</t>
        </is>
      </c>
      <c r="J9" s="12" t="inlineStr">
        <is>
          <t>Лучший месяц</t>
        </is>
      </c>
      <c r="K9" s="12" t="inlineStr">
        <is>
          <t>Худший месяц</t>
        </is>
      </c>
      <c r="L9" s="12" t="inlineStr">
        <is>
          <t>Главный резерв</t>
        </is>
      </c>
    </row>
    <row r="10">
      <c r="C10" s="23" t="n">
        <v>1</v>
      </c>
      <c r="D10" s="13" t="inlineStr">
        <is>
          <t>ПОРТ</t>
        </is>
      </c>
      <c r="E10" s="15" t="n">
        <v>87824981</v>
      </c>
      <c r="F10" s="15" t="n">
        <v>19493177</v>
      </c>
      <c r="G10" s="24" t="n">
        <v>7508827.7</v>
      </c>
      <c r="H10" s="25" t="n">
        <v>0.0854976296550522</v>
      </c>
      <c r="I10" s="23" t="n">
        <v>0</v>
      </c>
      <c r="J10" s="13" t="inlineStr">
        <is>
          <t>Июль</t>
        </is>
      </c>
      <c r="K10" s="13" t="n">
        <v>760296.26</v>
      </c>
      <c r="L10" s="13" t="inlineStr">
        <is>
          <t>Банковская комиссия</t>
        </is>
      </c>
    </row>
    <row r="11">
      <c r="C11" s="23" t="n">
        <v>2</v>
      </c>
      <c r="D11" s="13" t="inlineStr">
        <is>
          <t>КИР1</t>
        </is>
      </c>
      <c r="E11" s="15" t="n">
        <v>42387814</v>
      </c>
      <c r="F11" s="15" t="n">
        <v>10951888</v>
      </c>
      <c r="G11" s="24" t="n">
        <v>4330107.74</v>
      </c>
      <c r="H11" s="25" t="n">
        <v>0.1021545423408718</v>
      </c>
      <c r="I11" s="23" t="n">
        <v>0</v>
      </c>
      <c r="J11" s="13" t="inlineStr">
        <is>
          <t>Апрель</t>
        </is>
      </c>
      <c r="K11" s="13" t="n">
        <v>194472.4400000001</v>
      </c>
      <c r="L11" s="13" t="inlineStr">
        <is>
          <t>Банковская комиссия</t>
        </is>
      </c>
    </row>
    <row r="12">
      <c r="C12" s="23" t="n">
        <v>3</v>
      </c>
      <c r="D12" s="13" t="inlineStr">
        <is>
          <t>А2</t>
        </is>
      </c>
      <c r="E12" s="15" t="n">
        <v>39154723</v>
      </c>
      <c r="F12" s="15" t="n">
        <v>10473880</v>
      </c>
      <c r="G12" s="24" t="n">
        <v>4167854.66</v>
      </c>
      <c r="H12" s="25" t="n">
        <v>0.1064457705396102</v>
      </c>
      <c r="I12" s="23" t="n">
        <v>0</v>
      </c>
      <c r="J12" s="13" t="inlineStr">
        <is>
          <t>Март</t>
        </is>
      </c>
      <c r="K12" s="13" t="n">
        <v>302769.84</v>
      </c>
      <c r="L12" s="13" t="inlineStr">
        <is>
          <t>Налог с валовой прибыли</t>
        </is>
      </c>
    </row>
    <row r="13">
      <c r="C13" s="23" t="n">
        <v>4</v>
      </c>
      <c r="D13" s="13" t="inlineStr">
        <is>
          <t>ОЛЕ</t>
        </is>
      </c>
      <c r="E13" s="15" t="n">
        <v>23480152</v>
      </c>
      <c r="F13" s="15" t="n">
        <v>6253066</v>
      </c>
      <c r="G13" s="24" t="n">
        <v>2007687.58</v>
      </c>
      <c r="H13" s="25" t="n">
        <v>0.085505731819794</v>
      </c>
      <c r="I13" s="23" t="n">
        <v>0</v>
      </c>
      <c r="J13" s="13" t="inlineStr">
        <is>
          <t>Февраль</t>
        </is>
      </c>
      <c r="K13" s="13" t="n">
        <v>45322.79999999999</v>
      </c>
      <c r="L13" s="13" t="inlineStr">
        <is>
          <t>Операционные траты за наличные</t>
        </is>
      </c>
    </row>
    <row r="14">
      <c r="C14" s="23" t="n">
        <v>5</v>
      </c>
      <c r="D14" s="13" t="inlineStr">
        <is>
          <t>А1</t>
        </is>
      </c>
      <c r="E14" s="15" t="n">
        <v>25419152</v>
      </c>
      <c r="F14" s="15" t="n">
        <v>6963897</v>
      </c>
      <c r="G14" s="24" t="n">
        <v>1955294.94</v>
      </c>
      <c r="H14" s="25" t="n">
        <v>0.0769221152617522</v>
      </c>
      <c r="I14" s="23" t="n">
        <v>0</v>
      </c>
      <c r="J14" s="13" t="inlineStr">
        <is>
          <t>Март</t>
        </is>
      </c>
      <c r="K14" s="13" t="n">
        <v>68280.40000000002</v>
      </c>
      <c r="L14" s="13" t="inlineStr">
        <is>
          <t>Аренда</t>
        </is>
      </c>
    </row>
    <row r="15">
      <c r="C15" s="23" t="n">
        <v>6</v>
      </c>
      <c r="D15" s="13" t="inlineStr">
        <is>
          <t>КИР3</t>
        </is>
      </c>
      <c r="E15" s="15" t="n">
        <v>17028809</v>
      </c>
      <c r="F15" s="15" t="n">
        <v>4444905</v>
      </c>
      <c r="G15" s="24" t="n">
        <v>1475006.62</v>
      </c>
      <c r="H15" s="25" t="n">
        <v>0.0866183078335073</v>
      </c>
      <c r="I15" s="23" t="n">
        <v>1</v>
      </c>
      <c r="J15" s="13" t="inlineStr">
        <is>
          <t>Апрель</t>
        </is>
      </c>
      <c r="K15" s="13" t="n">
        <v>-8966.52</v>
      </c>
      <c r="L15" s="13" t="inlineStr">
        <is>
          <t>Банковская комиссия</t>
        </is>
      </c>
    </row>
    <row r="16">
      <c r="C16" s="23" t="n">
        <v>7</v>
      </c>
      <c r="D16" s="13" t="inlineStr">
        <is>
          <t>КОВ</t>
        </is>
      </c>
      <c r="E16" s="15" t="n">
        <v>23877346</v>
      </c>
      <c r="F16" s="15" t="n">
        <v>6707622</v>
      </c>
      <c r="G16" s="24" t="n">
        <v>1316363</v>
      </c>
      <c r="H16" s="25" t="n">
        <v>0.0551302058444853</v>
      </c>
      <c r="I16" s="23" t="n">
        <v>1</v>
      </c>
      <c r="J16" s="13" t="inlineStr">
        <is>
          <t>Март</t>
        </is>
      </c>
      <c r="K16" s="13" t="n">
        <v>-49021.69999999998</v>
      </c>
      <c r="L16" s="13" t="inlineStr">
        <is>
          <t>Аренда</t>
        </is>
      </c>
    </row>
    <row r="17">
      <c r="C17" s="23" t="n">
        <v>8</v>
      </c>
      <c r="D17" s="13" t="inlineStr">
        <is>
          <t>ПОЛ</t>
        </is>
      </c>
      <c r="E17" s="15" t="n">
        <v>14456525</v>
      </c>
      <c r="F17" s="15" t="n">
        <v>3981448</v>
      </c>
      <c r="G17" s="24" t="n">
        <v>1306599.62</v>
      </c>
      <c r="H17" s="25" t="n">
        <v>0.09038130671098341</v>
      </c>
      <c r="I17" s="23" t="n">
        <v>1</v>
      </c>
      <c r="J17" s="13" t="inlineStr">
        <is>
          <t>Март</t>
        </is>
      </c>
      <c r="K17" s="13" t="n">
        <v>-32814.25999999997</v>
      </c>
      <c r="L17" s="13" t="inlineStr">
        <is>
          <t>Списания</t>
        </is>
      </c>
    </row>
    <row r="18">
      <c r="C18" s="23" t="n">
        <v>9</v>
      </c>
      <c r="D18" s="13" t="inlineStr">
        <is>
          <t>КА2</t>
        </is>
      </c>
      <c r="E18" s="15" t="n">
        <v>12413115</v>
      </c>
      <c r="F18" s="15" t="n">
        <v>3673891</v>
      </c>
      <c r="G18" s="24" t="n">
        <v>1180071.32</v>
      </c>
      <c r="H18" s="25" t="n">
        <v>0.09506649378500071</v>
      </c>
      <c r="I18" s="23" t="n">
        <v>0</v>
      </c>
      <c r="J18" s="13" t="inlineStr">
        <is>
          <t>Март</t>
        </is>
      </c>
      <c r="K18" s="13" t="n">
        <v>33760.67999999998</v>
      </c>
      <c r="L18" s="13" t="inlineStr">
        <is>
          <t>Налог с валовой прибыли</t>
        </is>
      </c>
    </row>
    <row r="19">
      <c r="C19" s="23" t="n">
        <v>10</v>
      </c>
      <c r="D19" s="13" t="inlineStr">
        <is>
          <t>ЗАП</t>
        </is>
      </c>
      <c r="E19" s="15" t="n">
        <v>19392304</v>
      </c>
      <c r="F19" s="15" t="n">
        <v>5079035</v>
      </c>
      <c r="G19" s="24" t="n">
        <v>1104422.84</v>
      </c>
      <c r="H19" s="25" t="n">
        <v>0.0569516051316027</v>
      </c>
      <c r="I19" s="23" t="n">
        <v>1</v>
      </c>
      <c r="J19" s="13" t="inlineStr">
        <is>
          <t>Апрель</t>
        </is>
      </c>
      <c r="K19" s="13" t="n">
        <v>-57899.01999999998</v>
      </c>
      <c r="L19" s="13" t="inlineStr">
        <is>
          <t>Списания</t>
        </is>
      </c>
    </row>
    <row r="20">
      <c r="C20" s="23" t="n">
        <v>11</v>
      </c>
      <c r="D20" s="13" t="inlineStr">
        <is>
          <t>С1</t>
        </is>
      </c>
      <c r="E20" s="15" t="n">
        <v>21828558</v>
      </c>
      <c r="F20" s="15" t="n">
        <v>5506725</v>
      </c>
      <c r="G20" s="24" t="n">
        <v>916739.4399999999</v>
      </c>
      <c r="H20" s="16" t="n">
        <v>0.0419972514904557</v>
      </c>
      <c r="I20" s="23" t="n">
        <v>0</v>
      </c>
      <c r="J20" s="13" t="inlineStr">
        <is>
          <t>Июнь</t>
        </is>
      </c>
      <c r="K20" s="13" t="n">
        <v>37805.14</v>
      </c>
      <c r="L20" s="13" t="inlineStr">
        <is>
          <t>Списания</t>
        </is>
      </c>
    </row>
    <row r="21">
      <c r="C21" s="23" t="n">
        <v>12</v>
      </c>
      <c r="D21" s="13" t="inlineStr">
        <is>
          <t>КНИП</t>
        </is>
      </c>
      <c r="E21" s="15" t="n">
        <v>26458746</v>
      </c>
      <c r="F21" s="15" t="n">
        <v>6446962</v>
      </c>
      <c r="G21" s="24" t="n">
        <v>853540.24</v>
      </c>
      <c r="H21" s="16" t="n">
        <v>0.0322592854551761</v>
      </c>
      <c r="I21" s="23" t="n">
        <v>2</v>
      </c>
      <c r="J21" s="13" t="inlineStr">
        <is>
          <t>Февраль</t>
        </is>
      </c>
      <c r="K21" s="13" t="n">
        <v>-123843.9</v>
      </c>
      <c r="L21" s="13" t="inlineStr">
        <is>
          <t>Аренда</t>
        </is>
      </c>
    </row>
    <row r="22">
      <c r="C22" s="23" t="n">
        <v>13</v>
      </c>
      <c r="D22" s="13" t="inlineStr">
        <is>
          <t>ГС2</t>
        </is>
      </c>
      <c r="E22" s="15" t="n">
        <v>14811951</v>
      </c>
      <c r="F22" s="15" t="n">
        <v>3826498</v>
      </c>
      <c r="G22" s="24" t="n">
        <v>753183.7600000001</v>
      </c>
      <c r="H22" s="25" t="n">
        <v>0.0508497334348459</v>
      </c>
      <c r="I22" s="23" t="n">
        <v>1</v>
      </c>
      <c r="J22" s="13" t="inlineStr">
        <is>
          <t>Март</t>
        </is>
      </c>
      <c r="K22" s="13" t="n">
        <v>-37756.84000000004</v>
      </c>
      <c r="L22" s="13" t="inlineStr">
        <is>
          <t>Коммунальные платежи за наличные</t>
        </is>
      </c>
    </row>
    <row r="23">
      <c r="C23" s="23" t="n">
        <v>14</v>
      </c>
      <c r="D23" s="13" t="inlineStr">
        <is>
          <t>К49</t>
        </is>
      </c>
      <c r="E23" s="15" t="n">
        <v>15439035</v>
      </c>
      <c r="F23" s="15" t="n">
        <v>4033190</v>
      </c>
      <c r="G23" s="24" t="n">
        <v>582086.54</v>
      </c>
      <c r="H23" s="16" t="n">
        <v>0.0377022618317789</v>
      </c>
      <c r="I23" s="23" t="n">
        <v>2</v>
      </c>
      <c r="J23" s="13" t="inlineStr">
        <is>
          <t>Январь</t>
        </is>
      </c>
      <c r="K23" s="13" t="n">
        <v>-101393.82</v>
      </c>
      <c r="L23" s="13" t="inlineStr">
        <is>
          <t>Аренда</t>
        </is>
      </c>
    </row>
    <row r="24">
      <c r="C24" s="23" t="n">
        <v>15</v>
      </c>
      <c r="D24" s="13" t="inlineStr">
        <is>
          <t>А3</t>
        </is>
      </c>
      <c r="E24" s="15" t="n">
        <v>12299048</v>
      </c>
      <c r="F24" s="15" t="n">
        <v>3273353</v>
      </c>
      <c r="G24" s="24" t="n">
        <v>546235.5800000001</v>
      </c>
      <c r="H24" s="16" t="n">
        <v>0.0444128342291208</v>
      </c>
      <c r="I24" s="23" t="n">
        <v>1</v>
      </c>
      <c r="J24" s="13" t="inlineStr">
        <is>
          <t>Июнь</t>
        </is>
      </c>
      <c r="K24" s="13" t="n">
        <v>-594.139999999983</v>
      </c>
      <c r="L24" s="13" t="inlineStr">
        <is>
          <t>Аренда</t>
        </is>
      </c>
    </row>
    <row r="25">
      <c r="C25" s="23" t="n">
        <v>16</v>
      </c>
      <c r="D25" s="13" t="inlineStr">
        <is>
          <t>СНЕЖ</t>
        </is>
      </c>
      <c r="E25" s="15" t="n">
        <v>10706912</v>
      </c>
      <c r="F25" s="15" t="n">
        <v>2813656</v>
      </c>
      <c r="G25" s="24" t="n">
        <v>434752.54</v>
      </c>
      <c r="H25" s="16" t="n">
        <v>0.0406048485314906</v>
      </c>
      <c r="I25" s="23" t="n">
        <v>1</v>
      </c>
      <c r="J25" s="13" t="inlineStr">
        <is>
          <t>Январь</t>
        </is>
      </c>
      <c r="K25" s="13" t="n">
        <v>-109623.62</v>
      </c>
      <c r="L25" s="13" t="inlineStr">
        <is>
          <t>ФОТ и налоги на персонал</t>
        </is>
      </c>
    </row>
    <row r="26">
      <c r="C26" s="23" t="n">
        <v>17</v>
      </c>
      <c r="D26" s="13" t="inlineStr">
        <is>
          <t>Л76</t>
        </is>
      </c>
      <c r="E26" s="15" t="n">
        <v>10906975</v>
      </c>
      <c r="F26" s="15" t="n">
        <v>2649254</v>
      </c>
      <c r="G26" s="24" t="n">
        <v>391876.62</v>
      </c>
      <c r="H26" s="16" t="n">
        <v>0.0359289922274507</v>
      </c>
      <c r="I26" s="23" t="n">
        <v>2</v>
      </c>
      <c r="J26" s="13" t="inlineStr">
        <is>
          <t>Январь</t>
        </is>
      </c>
      <c r="K26" s="13" t="n">
        <v>-28538.92000000001</v>
      </c>
      <c r="L26" s="13" t="inlineStr">
        <is>
          <t>Списания</t>
        </is>
      </c>
    </row>
    <row r="27">
      <c r="C27" s="23" t="n">
        <v>18</v>
      </c>
      <c r="D27" s="13" t="inlineStr">
        <is>
          <t>К80</t>
        </is>
      </c>
      <c r="E27" s="15" t="n">
        <v>10168346</v>
      </c>
      <c r="F27" s="15" t="n">
        <v>2661116</v>
      </c>
      <c r="G27" s="24" t="n">
        <v>275045.7600000001</v>
      </c>
      <c r="H27" s="16" t="n">
        <v>0.0270492133135516</v>
      </c>
      <c r="I27" s="23" t="n">
        <v>2</v>
      </c>
      <c r="J27" s="13" t="inlineStr">
        <is>
          <t>Январь</t>
        </is>
      </c>
      <c r="K27" s="13" t="n">
        <v>-48798.93999999997</v>
      </c>
      <c r="L27" s="13" t="inlineStr">
        <is>
          <t>Списания</t>
        </is>
      </c>
    </row>
    <row r="28">
      <c r="C28" s="23" t="n">
        <v>19</v>
      </c>
      <c r="D28" s="13" t="inlineStr">
        <is>
          <t>ГС1</t>
        </is>
      </c>
      <c r="E28" s="15" t="n">
        <v>15221798</v>
      </c>
      <c r="F28" s="15" t="n">
        <v>4003907</v>
      </c>
      <c r="G28" s="24" t="n">
        <v>256634.8199999999</v>
      </c>
      <c r="H28" s="16" t="n">
        <v>0.0168596916080478</v>
      </c>
      <c r="I28" s="23" t="n">
        <v>1</v>
      </c>
      <c r="J28" s="13" t="inlineStr">
        <is>
          <t>Февраль</t>
        </is>
      </c>
      <c r="K28" s="13" t="n">
        <v>-147259.74</v>
      </c>
      <c r="L28" s="13" t="inlineStr">
        <is>
          <t>ФОТ и налоги на персонал</t>
        </is>
      </c>
    </row>
    <row r="29">
      <c r="C29" s="23" t="n">
        <v>20</v>
      </c>
      <c r="D29" s="13" t="inlineStr">
        <is>
          <t>МОН</t>
        </is>
      </c>
      <c r="E29" s="15" t="n">
        <v>14471507</v>
      </c>
      <c r="F29" s="15" t="n">
        <v>3746569</v>
      </c>
      <c r="G29" s="24" t="n">
        <v>130320.9400000001</v>
      </c>
      <c r="H29" s="16" t="n">
        <v>0.009005346851575301</v>
      </c>
      <c r="I29" s="23" t="n">
        <v>4</v>
      </c>
      <c r="J29" s="13" t="inlineStr">
        <is>
          <t>Апрель</t>
        </is>
      </c>
      <c r="K29" s="13" t="n">
        <v>-121288.88</v>
      </c>
      <c r="L29" s="13" t="inlineStr">
        <is>
          <t>ФОТ и налоги на персонал</t>
        </is>
      </c>
    </row>
    <row r="30">
      <c r="C30" s="23" t="n">
        <v>21</v>
      </c>
      <c r="D30" s="13" t="inlineStr">
        <is>
          <t>ЗАО</t>
        </is>
      </c>
      <c r="E30" s="15" t="n">
        <v>9516422</v>
      </c>
      <c r="F30" s="15" t="n">
        <v>2528140</v>
      </c>
      <c r="G30" s="24" t="n">
        <v>54274.30000000002</v>
      </c>
      <c r="H30" s="16" t="n">
        <v>0.0057032254349376</v>
      </c>
      <c r="I30" s="23" t="n">
        <v>3</v>
      </c>
      <c r="J30" s="13" t="inlineStr">
        <is>
          <t>Март</t>
        </is>
      </c>
      <c r="K30" s="13" t="n">
        <v>-115348.2</v>
      </c>
      <c r="L30" s="13" t="inlineStr">
        <is>
          <t>ФОТ и налоги на персонал</t>
        </is>
      </c>
    </row>
    <row r="31">
      <c r="C31" s="23" t="n">
        <v>22</v>
      </c>
      <c r="D31" s="13" t="inlineStr">
        <is>
          <t>ПЗ2</t>
        </is>
      </c>
      <c r="E31" s="15" t="n">
        <v>10640640</v>
      </c>
      <c r="F31" s="15" t="n">
        <v>2748219</v>
      </c>
      <c r="G31" s="24" t="n">
        <v>26917.04000000003</v>
      </c>
      <c r="H31" s="16" t="n">
        <v>0.0025296448333934</v>
      </c>
      <c r="I31" s="23" t="n">
        <v>4</v>
      </c>
      <c r="J31" s="13" t="inlineStr">
        <is>
          <t>Февраль</t>
        </is>
      </c>
      <c r="K31" s="13" t="n">
        <v>-93629.8</v>
      </c>
      <c r="L31" s="13" t="inlineStr">
        <is>
          <t>Аренда</t>
        </is>
      </c>
    </row>
    <row r="32">
      <c r="C32" s="26" t="n">
        <v>23</v>
      </c>
      <c r="D32" s="27" t="inlineStr">
        <is>
          <t>КИР2</t>
        </is>
      </c>
      <c r="E32" s="17" t="n">
        <v>10428128</v>
      </c>
      <c r="F32" s="17" t="n">
        <v>2814687</v>
      </c>
      <c r="G32" s="28" t="n">
        <v>-22676.47999999995</v>
      </c>
      <c r="H32" s="29" t="n">
        <v>-0.0021745494493354</v>
      </c>
      <c r="I32" s="26" t="n">
        <v>3</v>
      </c>
      <c r="J32" s="27" t="inlineStr">
        <is>
          <t>Март</t>
        </is>
      </c>
      <c r="K32" s="27" t="n">
        <v>-167433.98</v>
      </c>
      <c r="L32" s="27" t="inlineStr">
        <is>
          <t>ФОТ и налоги на персонал</t>
        </is>
      </c>
    </row>
    <row r="33">
      <c r="C33" s="26" t="n">
        <v>24</v>
      </c>
      <c r="D33" s="27" t="inlineStr">
        <is>
          <t>РОС</t>
        </is>
      </c>
      <c r="E33" s="17" t="n">
        <v>9139386</v>
      </c>
      <c r="F33" s="17" t="n">
        <v>2449317</v>
      </c>
      <c r="G33" s="28" t="n">
        <v>-117424.4</v>
      </c>
      <c r="H33" s="29" t="n">
        <v>-0.0128481716386636</v>
      </c>
      <c r="I33" s="26" t="n">
        <v>4</v>
      </c>
      <c r="J33" s="27" t="inlineStr">
        <is>
          <t>Март</t>
        </is>
      </c>
      <c r="K33" s="27" t="n">
        <v>-172192.7</v>
      </c>
      <c r="L33" s="27" t="inlineStr">
        <is>
          <t>Коммунальные платежи за наличные</t>
        </is>
      </c>
    </row>
    <row r="34">
      <c r="C34" s="26" t="n">
        <v>25</v>
      </c>
      <c r="D34" s="27" t="inlineStr">
        <is>
          <t>МИРА</t>
        </is>
      </c>
      <c r="E34" s="17" t="n">
        <v>7632280</v>
      </c>
      <c r="F34" s="17" t="n">
        <v>2071814</v>
      </c>
      <c r="G34" s="28" t="n">
        <v>-221263.38</v>
      </c>
      <c r="H34" s="29" t="n">
        <v>-0.0289904694272222</v>
      </c>
      <c r="I34" s="26" t="n">
        <v>4</v>
      </c>
      <c r="J34" s="27" t="inlineStr">
        <is>
          <t>Март</t>
        </is>
      </c>
      <c r="K34" s="27" t="n">
        <v>-182622.98</v>
      </c>
      <c r="L34" s="27" t="inlineStr">
        <is>
          <t>ФОТ и налоги на персонал</t>
        </is>
      </c>
    </row>
    <row r="35">
      <c r="C35" s="26" t="n">
        <v>26</v>
      </c>
      <c r="D35" s="27" t="inlineStr">
        <is>
          <t>П.ЗОР</t>
        </is>
      </c>
      <c r="E35" s="17" t="n">
        <v>14509134</v>
      </c>
      <c r="F35" s="17" t="n">
        <v>4050677</v>
      </c>
      <c r="G35" s="28" t="n">
        <v>-226961.82</v>
      </c>
      <c r="H35" s="29" t="n">
        <v>-0.0156426854972874</v>
      </c>
      <c r="I35" s="26" t="n">
        <v>3</v>
      </c>
      <c r="J35" s="27" t="inlineStr">
        <is>
          <t>Февраль</t>
        </is>
      </c>
      <c r="K35" s="27" t="n">
        <v>-216910.98</v>
      </c>
      <c r="L35" s="27" t="inlineStr">
        <is>
          <t>Операционные траты за наличные</t>
        </is>
      </c>
    </row>
    <row r="36">
      <c r="C36" s="26" t="n">
        <v>27</v>
      </c>
      <c r="D36" s="27" t="inlineStr">
        <is>
          <t>ПЗ1</t>
        </is>
      </c>
      <c r="E36" s="17" t="n">
        <v>9150808</v>
      </c>
      <c r="F36" s="17" t="n">
        <v>2291489</v>
      </c>
      <c r="G36" s="28" t="n">
        <v>-272045.82</v>
      </c>
      <c r="H36" s="29" t="n">
        <v>-0.0297291583431758</v>
      </c>
      <c r="I36" s="26" t="n">
        <v>6</v>
      </c>
      <c r="J36" s="27" t="inlineStr">
        <is>
          <t>Март</t>
        </is>
      </c>
      <c r="K36" s="27" t="n">
        <v>-204676.32</v>
      </c>
      <c r="L36" s="27" t="inlineStr">
        <is>
          <t>Аренда</t>
        </is>
      </c>
    </row>
    <row r="37">
      <c r="C37" s="26" t="n">
        <v>28</v>
      </c>
      <c r="D37" s="27" t="inlineStr">
        <is>
          <t>МАК</t>
        </is>
      </c>
      <c r="E37" s="17" t="n">
        <v>7098280</v>
      </c>
      <c r="F37" s="17" t="n">
        <v>1915263</v>
      </c>
      <c r="G37" s="28" t="n">
        <v>-341105</v>
      </c>
      <c r="H37" s="29" t="n">
        <v>-0.0480545991423274</v>
      </c>
      <c r="I37" s="26" t="n">
        <v>5</v>
      </c>
      <c r="J37" s="27" t="inlineStr">
        <is>
          <t>Март</t>
        </is>
      </c>
      <c r="K37" s="27" t="n">
        <v>-227662.82</v>
      </c>
      <c r="L37" s="27" t="inlineStr">
        <is>
          <t>ФОТ и налоги на персонал</t>
        </is>
      </c>
    </row>
    <row r="38">
      <c r="C38" s="26" t="n">
        <v>29</v>
      </c>
      <c r="D38" s="27" t="inlineStr">
        <is>
          <t>МОЛ</t>
        </is>
      </c>
      <c r="E38" s="17" t="n">
        <v>1369390</v>
      </c>
      <c r="F38" s="17" t="n">
        <v>269881</v>
      </c>
      <c r="G38" s="28" t="n">
        <v>-418795.16</v>
      </c>
      <c r="H38" s="29" t="n">
        <v>-0.3058260685414674</v>
      </c>
      <c r="I38" s="26" t="n">
        <v>3</v>
      </c>
      <c r="J38" s="27" t="inlineStr">
        <is>
          <t>Апрель</t>
        </is>
      </c>
      <c r="K38" s="27" t="n">
        <v>-151530.72</v>
      </c>
      <c r="L38" s="27" t="inlineStr">
        <is>
          <t>ФОТ и налоги на персонал</t>
        </is>
      </c>
    </row>
    <row r="39">
      <c r="C39" s="26" t="n">
        <v>30</v>
      </c>
      <c r="D39" s="27" t="inlineStr">
        <is>
          <t>УМБА</t>
        </is>
      </c>
      <c r="E39" s="17" t="n">
        <v>7142202</v>
      </c>
      <c r="F39" s="17" t="n">
        <v>1888231</v>
      </c>
      <c r="G39" s="28" t="n">
        <v>-461163.44</v>
      </c>
      <c r="H39" s="29" t="n">
        <v>-0.0645688038506891</v>
      </c>
      <c r="I39" s="26" t="n">
        <v>6</v>
      </c>
      <c r="J39" s="27" t="inlineStr">
        <is>
          <t>Июнь</t>
        </is>
      </c>
      <c r="K39" s="27" t="n">
        <v>-169866.72</v>
      </c>
      <c r="L39" s="27" t="inlineStr">
        <is>
          <t>ФОТ и налоги на персонал</t>
        </is>
      </c>
    </row>
    <row r="40">
      <c r="C40" s="26" t="n">
        <v>31</v>
      </c>
      <c r="D40" s="27" t="inlineStr">
        <is>
          <t>КА1</t>
        </is>
      </c>
      <c r="E40" s="17" t="n">
        <v>6864591</v>
      </c>
      <c r="F40" s="17" t="n">
        <v>1964442</v>
      </c>
      <c r="G40" s="28" t="n">
        <v>-474932.92</v>
      </c>
      <c r="H40" s="29" t="n">
        <v>-0.0691859019714357</v>
      </c>
      <c r="I40" s="26" t="n">
        <v>3</v>
      </c>
      <c r="J40" s="27" t="inlineStr">
        <is>
          <t>Январь</t>
        </is>
      </c>
      <c r="K40" s="27" t="n">
        <v>-445979.52</v>
      </c>
      <c r="L40" s="27" t="inlineStr">
        <is>
          <t>ФОТ и налоги на персонал</t>
        </is>
      </c>
    </row>
    <row r="41">
      <c r="C41" s="26" t="n">
        <v>32</v>
      </c>
      <c r="D41" s="27" t="inlineStr">
        <is>
          <t>С3</t>
        </is>
      </c>
      <c r="E41" s="17" t="n">
        <v>7174722</v>
      </c>
      <c r="F41" s="17" t="n">
        <v>1839764</v>
      </c>
      <c r="G41" s="28" t="n">
        <v>-480993.42</v>
      </c>
      <c r="H41" s="29" t="n">
        <v>-0.067040007961284</v>
      </c>
      <c r="I41" s="26" t="n">
        <v>6</v>
      </c>
      <c r="J41" s="27" t="inlineStr">
        <is>
          <t>Март</t>
        </is>
      </c>
      <c r="K41" s="27" t="n">
        <v>-195133.06</v>
      </c>
      <c r="L41" s="27" t="inlineStr">
        <is>
          <t>ФОТ и налоги на персонал</t>
        </is>
      </c>
    </row>
    <row r="42">
      <c r="C42" s="26" t="n">
        <v>33</v>
      </c>
      <c r="D42" s="27" t="inlineStr">
        <is>
          <t>НИК</t>
        </is>
      </c>
      <c r="E42" s="17" t="n">
        <v>8944783</v>
      </c>
      <c r="F42" s="17" t="n">
        <v>2302271</v>
      </c>
      <c r="G42" s="28" t="n">
        <v>-688112.38</v>
      </c>
      <c r="H42" s="29" t="n">
        <v>-0.0769289070511828</v>
      </c>
      <c r="I42" s="26" t="n">
        <v>7</v>
      </c>
      <c r="J42" s="27" t="inlineStr">
        <is>
          <t>Январь</t>
        </is>
      </c>
      <c r="K42" s="27" t="n">
        <v>-204839.08</v>
      </c>
      <c r="L42" s="27" t="inlineStr">
        <is>
          <t>ФОТ и налоги на персонал</t>
        </is>
      </c>
    </row>
    <row r="43">
      <c r="C43" s="26" t="n">
        <v>34</v>
      </c>
      <c r="D43" s="27" t="inlineStr">
        <is>
          <t>Н95</t>
        </is>
      </c>
      <c r="E43" s="17" t="n">
        <v>11762112</v>
      </c>
      <c r="F43" s="17" t="n">
        <v>3182426</v>
      </c>
      <c r="G43" s="28" t="n">
        <v>-980941.98</v>
      </c>
      <c r="H43" s="29" t="n">
        <v>-0.083398455991577</v>
      </c>
      <c r="I43" s="26" t="n">
        <v>7</v>
      </c>
      <c r="J43" s="27" t="inlineStr">
        <is>
          <t>Март</t>
        </is>
      </c>
      <c r="K43" s="27" t="n">
        <v>-264045.94</v>
      </c>
      <c r="L43" s="27" t="inlineStr">
        <is>
          <t>ФОТ и налоги на персонал</t>
        </is>
      </c>
    </row>
    <row r="44"/>
    <row r="45"/>
    <row r="46"/>
    <row r="47" ht="20" customHeight="1">
      <c r="C47" s="4" t="inlineStr">
        <is>
          <t>Листы, исключенные из расчетной базы</t>
        </is>
      </c>
    </row>
    <row r="48" ht="30" customHeight="1">
      <c r="C48" s="12" t="inlineStr">
        <is>
          <t>Лист</t>
        </is>
      </c>
      <c r="D48" s="12" t="inlineStr">
        <is>
          <t>Выручка</t>
        </is>
      </c>
      <c r="E48" s="12" t="inlineStr">
        <is>
          <t>Статус</t>
        </is>
      </c>
    </row>
    <row r="49">
      <c r="C49" s="13" t="inlineStr">
        <is>
          <t>РЕЗ</t>
        </is>
      </c>
      <c r="D49" s="13" t="inlineStr">
        <is>
          <t>—</t>
        </is>
      </c>
      <c r="E49" s="13" t="inlineStr">
        <is>
          <t>Исключен по поручению пользователя</t>
        </is>
      </c>
    </row>
    <row r="50">
      <c r="C50" s="13" t="inlineStr">
        <is>
          <t>РЕЗ2</t>
        </is>
      </c>
      <c r="D50" s="13" t="inlineStr">
        <is>
          <t>—</t>
        </is>
      </c>
      <c r="E50" s="13" t="inlineStr">
        <is>
          <t>Исключен по поручению пользователя</t>
        </is>
      </c>
    </row>
    <row r="51">
      <c r="C51" s="13" t="inlineStr">
        <is>
          <t>РЕЗЕРВ</t>
        </is>
      </c>
      <c r="D51" s="13" t="inlineStr">
        <is>
          <t>—</t>
        </is>
      </c>
      <c r="E51" s="13" t="inlineStr">
        <is>
          <t>Исключен по поручению пользователя</t>
        </is>
      </c>
    </row>
    <row r="52">
      <c r="C52" s="13" t="inlineStr">
        <is>
          <t>РЕЗЕРВ1</t>
        </is>
      </c>
      <c r="D52" s="13" t="inlineStr">
        <is>
          <t>—</t>
        </is>
      </c>
      <c r="E52" s="13" t="inlineStr">
        <is>
          <t>Исключен по поручению пользователя</t>
        </is>
      </c>
    </row>
    <row r="53">
      <c r="C53" s="13" t="inlineStr">
        <is>
          <t>РЕЗЕРВ2</t>
        </is>
      </c>
      <c r="D53" s="13" t="inlineStr">
        <is>
          <t>—</t>
        </is>
      </c>
      <c r="E53" s="13" t="inlineStr">
        <is>
          <t>Исключен по поручению пользователя</t>
        </is>
      </c>
    </row>
    <row r="54">
      <c r="C54" s="13" t="inlineStr">
        <is>
          <t>РЕЗЕРВ3</t>
        </is>
      </c>
      <c r="D54" s="13" t="inlineStr">
        <is>
          <t>—</t>
        </is>
      </c>
      <c r="E54" s="13" t="inlineStr">
        <is>
          <t>Исключен по поручению пользователя</t>
        </is>
      </c>
    </row>
    <row r="55">
      <c r="C55" s="13" t="inlineStr">
        <is>
          <t>РЕЗЕРВ4</t>
        </is>
      </c>
      <c r="D55" s="13" t="inlineStr">
        <is>
          <t>—</t>
        </is>
      </c>
      <c r="E55" s="13" t="inlineStr">
        <is>
          <t>Исключен по поручению пользователя</t>
        </is>
      </c>
    </row>
    <row r="56">
      <c r="C56" s="13" t="inlineStr">
        <is>
          <t>АЛА</t>
        </is>
      </c>
      <c r="D56" s="13" t="inlineStr">
        <is>
          <t>—</t>
        </is>
      </c>
      <c r="E56" s="13" t="inlineStr">
        <is>
          <t>Исключен по поручению пользователя</t>
        </is>
      </c>
    </row>
    <row r="57">
      <c r="C57" s="13" t="inlineStr">
        <is>
          <t>С2</t>
        </is>
      </c>
      <c r="D57" s="13" t="inlineStr">
        <is>
          <t>—</t>
        </is>
      </c>
      <c r="E57" s="13" t="inlineStr">
        <is>
          <t>Исключен по поручению пользователя</t>
        </is>
      </c>
    </row>
  </sheetData>
  <mergeCells count="5">
    <mergeCell ref="C47:K47"/>
    <mergeCell ref="C5:K5"/>
    <mergeCell ref="C3:K3"/>
    <mergeCell ref="C8:K8"/>
    <mergeCell ref="C6:K6"/>
  </mergeCells>
  <conditionalFormatting sqref="G10:G43">
    <cfRule type="cellIs" priority="1" operator="lessThan" dxfId="0">
      <formula>0</formula>
    </cfRule>
  </conditionalFormatting>
  <printOptions horizontalCentered="0"/>
  <pageMargins left="0.75" right="0.75" top="1" bottom="1" header="0.5" footer="0.5"/>
  <pageSetup orientation="landscape" fitToHeight="0" fitToWidth="1"/>
  <headerFooter>
    <oddHeader/>
    <oddFooter>&amp;C02_Рейтинг_магазинов |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C1:L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52" customWidth="1" min="4" max="4"/>
    <col width="21" customWidth="1" min="5" max="5"/>
    <col width="23" customWidth="1" min="6" max="6"/>
    <col width="52" customWidth="1" min="7" max="7"/>
    <col width="52" customWidth="1" min="8" max="8"/>
    <col width="52" customWidth="1" min="9" max="9"/>
    <col width="52" customWidth="1" min="10" max="10"/>
    <col width="10" customWidth="1" min="11" max="11"/>
    <col width="10" customWidth="1" min="12" max="12"/>
  </cols>
  <sheetData>
    <row r="1" ht="8" customHeight="1"/>
    <row r="2" ht="8" customHeight="1"/>
    <row r="3" ht="27" customHeight="1">
      <c r="C3" s="1" t="inlineStr">
        <is>
          <t>Аномалии, уязвимости и Action Plan</t>
        </is>
      </c>
    </row>
    <row r="4"/>
    <row r="5" ht="30" customHeight="1">
      <c r="C5" s="2" t="inlineStr">
        <is>
          <t>Конкретные действия и экономическая логика на основе проверенных результатов P&amp;L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Ловушки выручки</t>
        </is>
      </c>
    </row>
    <row r="9" ht="30" customHeight="1">
      <c r="C9" s="12" t="inlineStr">
        <is>
          <t>Магазин</t>
        </is>
      </c>
      <c r="D9" s="12" t="inlineStr">
        <is>
          <t>Выручка</t>
        </is>
      </c>
      <c r="E9" s="12" t="inlineStr">
        <is>
          <t>Чистая прибыль</t>
        </is>
      </c>
      <c r="F9" s="12" t="inlineStr">
        <is>
          <t>Чистая маржа</t>
        </is>
      </c>
      <c r="G9" s="12" t="inlineStr">
        <is>
          <t>Статья-резерв</t>
        </is>
      </c>
      <c r="H9" s="12" t="inlineStr">
        <is>
          <t>Избыток к медиане</t>
        </is>
      </c>
      <c r="I9" s="12" t="inlineStr">
        <is>
          <t>Управленческая мера</t>
        </is>
      </c>
    </row>
    <row r="10" ht="32" customHeight="1">
      <c r="C10" s="13" t="inlineStr">
        <is>
          <t>П.ЗОР</t>
        </is>
      </c>
      <c r="D10" s="15" t="n">
        <v>14509134</v>
      </c>
      <c r="E10" s="24" t="n">
        <v>-226961.82</v>
      </c>
      <c r="F10" s="13" t="n">
        <v>-0.01564268549728743</v>
      </c>
      <c r="G10" s="13" t="inlineStr">
        <is>
          <t>Операционные траты за наличные</t>
        </is>
      </c>
      <c r="H10" s="15" t="n">
        <v>441805.634888516</v>
      </c>
      <c r="I10" s="13" t="inlineStr">
        <is>
          <t>Запретить нецелевые наличные траты до разбора первички и месячного лимита.</t>
        </is>
      </c>
      <c r="L10" s="30" t="n"/>
    </row>
    <row r="11" ht="32" customHeight="1">
      <c r="C11" s="13" t="inlineStr">
        <is>
          <t>МОН</t>
        </is>
      </c>
      <c r="D11" s="15" t="n">
        <v>14471507</v>
      </c>
      <c r="E11" s="24" t="n">
        <v>130320.9400000001</v>
      </c>
      <c r="F11" s="13" t="n">
        <v>0.009005346851575311</v>
      </c>
      <c r="G11" s="13" t="inlineStr">
        <is>
          <t>ФОТ и налоги на персонал</t>
        </is>
      </c>
      <c r="H11" s="15" t="n">
        <v>258419.5247688494</v>
      </c>
      <c r="I11" s="13" t="inlineStr">
        <is>
          <t>Пересобрать график и штатную нагрузку; цель — высвободить минимум 279 тыс. руб.</t>
        </is>
      </c>
      <c r="L11" s="30" t="n"/>
    </row>
    <row r="12" ht="32" customHeight="1">
      <c r="C12" s="13" t="inlineStr">
        <is>
          <t>ГС1</t>
        </is>
      </c>
      <c r="D12" s="15" t="n">
        <v>15221798</v>
      </c>
      <c r="E12" s="24" t="n">
        <v>256634.8199999999</v>
      </c>
      <c r="F12" s="13" t="n">
        <v>0.01685969160804788</v>
      </c>
      <c r="G12" s="13" t="inlineStr">
        <is>
          <t>ФОТ и налоги на персонал</t>
        </is>
      </c>
      <c r="H12" s="15" t="n">
        <v>363487.6635481156</v>
      </c>
      <c r="I12" s="13" t="inlineStr">
        <is>
          <t>Пересобрать график и штатную нагрузку; цель — высвободить минимум 279 тыс. руб.</t>
        </is>
      </c>
      <c r="L12" s="30" t="n"/>
    </row>
    <row r="13"/>
    <row r="14" ht="20" customHeight="1">
      <c r="C14" s="4" t="inlineStr">
        <is>
          <t>Скрытые герои</t>
        </is>
      </c>
    </row>
    <row r="15" ht="30" customHeight="1">
      <c r="C15" s="12" t="inlineStr">
        <is>
          <t>Магазин</t>
        </is>
      </c>
      <c r="D15" s="12" t="inlineStr">
        <is>
          <t>Выручка</t>
        </is>
      </c>
      <c r="E15" s="12" t="inlineStr">
        <is>
          <t>Чистая прибыль</t>
        </is>
      </c>
      <c r="F15" s="12" t="inlineStr">
        <is>
          <t>Чистая маржа</t>
        </is>
      </c>
      <c r="G15" s="12" t="inlineStr">
        <is>
          <t>Почему важен</t>
        </is>
      </c>
      <c r="H15" s="12" t="inlineStr">
        <is>
          <t>Как масштабировать</t>
        </is>
      </c>
    </row>
    <row r="16" ht="38" customHeight="1">
      <c r="C16" s="22" t="inlineStr">
        <is>
          <t>А3</t>
        </is>
      </c>
      <c r="D16" s="15" t="n">
        <v>12299048</v>
      </c>
      <c r="E16" s="15" t="n">
        <v>546235.5800000001</v>
      </c>
      <c r="F16" s="22" t="n">
        <v>0.04441283422912083</v>
      </c>
      <c r="G16" s="22" t="inlineStr">
        <is>
          <t>Выручка ниже медианы сети, но маржа входит в верхнюю треть сопоставимых точек.</t>
        </is>
      </c>
      <c r="H16" s="22" t="inlineStr">
        <is>
          <t>Разобрать ассортимент, смены и схему локальных закупок; перенести практики на близкие по формату точки.</t>
        </is>
      </c>
    </row>
    <row r="17"/>
    <row r="18"/>
    <row r="19"/>
    <row r="20" ht="20" customHeight="1">
      <c r="C20" s="4" t="inlineStr">
        <is>
          <t>Приоритетный план оздоровления убыточных точек</t>
        </is>
      </c>
    </row>
    <row r="21" ht="30" customHeight="1">
      <c r="C21" s="12" t="inlineStr">
        <is>
          <t>Приоритет</t>
        </is>
      </c>
      <c r="D21" s="12" t="inlineStr">
        <is>
          <t>Магазин</t>
        </is>
      </c>
      <c r="E21" s="12" t="inlineStr">
        <is>
          <t>Убыток</t>
        </is>
      </c>
      <c r="F21" s="12" t="inlineStr">
        <is>
          <t>Убыточных месяцев</t>
        </is>
      </c>
      <c r="G21" s="12" t="inlineStr">
        <is>
          <t>Главный резерв</t>
        </is>
      </c>
      <c r="H21" s="12" t="inlineStr">
        <is>
          <t>Резерв к медиане</t>
        </is>
      </c>
      <c r="I21" s="12" t="inlineStr">
        <is>
          <t>Минимум для безубыточности</t>
        </is>
      </c>
      <c r="J21" s="12" t="inlineStr">
        <is>
          <t>Решение на 45 дней</t>
        </is>
      </c>
    </row>
    <row r="22" ht="38" customHeight="1">
      <c r="C22" s="23" t="n">
        <v>1</v>
      </c>
      <c r="D22" s="13" t="inlineStr">
        <is>
          <t>Н95</t>
        </is>
      </c>
      <c r="E22" s="24" t="n">
        <v>-980941.98</v>
      </c>
      <c r="F22" s="23" t="n">
        <v>7</v>
      </c>
      <c r="G22" s="13" t="inlineStr">
        <is>
          <t>ФОТ и налоги на персонал</t>
        </is>
      </c>
      <c r="H22" s="15" t="n">
        <v>1038481.193272869</v>
      </c>
      <c r="I22" s="15" t="n">
        <v>980941.98</v>
      </c>
      <c r="J22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3" ht="38" customHeight="1">
      <c r="C23" s="23" t="n">
        <v>2</v>
      </c>
      <c r="D23" s="13" t="inlineStr">
        <is>
          <t>НИК</t>
        </is>
      </c>
      <c r="E23" s="24" t="n">
        <v>-688112.38</v>
      </c>
      <c r="F23" s="23" t="n">
        <v>7</v>
      </c>
      <c r="G23" s="13" t="inlineStr">
        <is>
          <t>ФОТ и налоги на персонал</t>
        </is>
      </c>
      <c r="H23" s="15" t="n">
        <v>373718.1634116131</v>
      </c>
      <c r="I23" s="15" t="n">
        <v>688112.38</v>
      </c>
      <c r="J23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4" ht="38" customHeight="1">
      <c r="C24" s="23" t="n">
        <v>3</v>
      </c>
      <c r="D24" s="13" t="inlineStr">
        <is>
          <t>С3</t>
        </is>
      </c>
      <c r="E24" s="24" t="n">
        <v>-480993.42</v>
      </c>
      <c r="F24" s="23" t="n">
        <v>6</v>
      </c>
      <c r="G24" s="13" t="inlineStr">
        <is>
          <t>ФОТ и налоги на персонал</t>
        </is>
      </c>
      <c r="H24" s="15" t="n">
        <v>491416.9564733091</v>
      </c>
      <c r="I24" s="15" t="n">
        <v>480993.42</v>
      </c>
      <c r="J24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5" ht="38" customHeight="1">
      <c r="C25" s="23" t="n">
        <v>4</v>
      </c>
      <c r="D25" s="13" t="inlineStr">
        <is>
          <t>КА1</t>
        </is>
      </c>
      <c r="E25" s="24" t="n">
        <v>-474932.92</v>
      </c>
      <c r="F25" s="23" t="n">
        <v>3</v>
      </c>
      <c r="G25" s="13" t="inlineStr">
        <is>
          <t>ФОТ и налоги на персонал</t>
        </is>
      </c>
      <c r="H25" s="15" t="n">
        <v>684167.2502493071</v>
      </c>
      <c r="I25" s="15" t="n">
        <v>474932.92</v>
      </c>
      <c r="J25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6" ht="38" customHeight="1">
      <c r="C26" s="23" t="n">
        <v>5</v>
      </c>
      <c r="D26" s="13" t="inlineStr">
        <is>
          <t>УМБА</t>
        </is>
      </c>
      <c r="E26" s="24" t="n">
        <v>-461163.44</v>
      </c>
      <c r="F26" s="23" t="n">
        <v>6</v>
      </c>
      <c r="G26" s="13" t="inlineStr">
        <is>
          <t>ФОТ и налоги на персонал</t>
        </is>
      </c>
      <c r="H26" s="15" t="n">
        <v>441317.3176340298</v>
      </c>
      <c r="I26" s="15" t="n">
        <v>461163.44</v>
      </c>
      <c r="J26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7" ht="38" customHeight="1">
      <c r="C27" s="23" t="n">
        <v>6</v>
      </c>
      <c r="D27" s="13" t="inlineStr">
        <is>
          <t>МОЛ</t>
        </is>
      </c>
      <c r="E27" s="24" t="n">
        <v>-418795.16</v>
      </c>
      <c r="F27" s="23" t="n">
        <v>3</v>
      </c>
      <c r="G27" s="13" t="inlineStr">
        <is>
          <t>ФОТ и налоги на персонал</t>
        </is>
      </c>
      <c r="H27" s="15" t="n">
        <v>201356.2701082641</v>
      </c>
      <c r="I27" s="15" t="n">
        <v>418795.16</v>
      </c>
      <c r="J27" s="22" t="inlineStr">
        <is>
          <t>Немедленно проверить целесообразность локации: убыток 30,6% выручки; при недостижении +419 тыс. руб. за 45 дней — закрыть/релокировать.</t>
        </is>
      </c>
    </row>
    <row r="28" ht="38" customHeight="1">
      <c r="C28" s="23" t="n">
        <v>7</v>
      </c>
      <c r="D28" s="13" t="inlineStr">
        <is>
          <t>МАК</t>
        </is>
      </c>
      <c r="E28" s="24" t="n">
        <v>-341105</v>
      </c>
      <c r="F28" s="23" t="n">
        <v>5</v>
      </c>
      <c r="G28" s="13" t="inlineStr">
        <is>
          <t>ФОТ и налоги на персонал</t>
        </is>
      </c>
      <c r="H28" s="15" t="n">
        <v>391249.203249687</v>
      </c>
      <c r="I28" s="15" t="n">
        <v>341105</v>
      </c>
      <c r="J28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29" ht="38" customHeight="1">
      <c r="C29" s="23" t="n">
        <v>8</v>
      </c>
      <c r="D29" s="13" t="inlineStr">
        <is>
          <t>ПЗ1</t>
        </is>
      </c>
      <c r="E29" s="24" t="n">
        <v>-272045.82</v>
      </c>
      <c r="F29" s="23" t="n">
        <v>6</v>
      </c>
      <c r="G29" s="13" t="inlineStr">
        <is>
          <t>Аренда</t>
        </is>
      </c>
      <c r="H29" s="15" t="n">
        <v>332740.1849762619</v>
      </c>
      <c r="I29" s="15" t="n">
        <v>272045.82</v>
      </c>
      <c r="J29" s="22" t="inlineStr">
        <is>
          <t>Провести переговоры по аренде; при отсутствии снижения — оценить релокацию по трафику и окупаемости.</t>
        </is>
      </c>
    </row>
    <row r="30" ht="38" customHeight="1">
      <c r="C30" s="23" t="n">
        <v>9</v>
      </c>
      <c r="D30" s="13" t="inlineStr">
        <is>
          <t>П.ЗОР</t>
        </is>
      </c>
      <c r="E30" s="24" t="n">
        <v>-226961.82</v>
      </c>
      <c r="F30" s="23" t="n">
        <v>3</v>
      </c>
      <c r="G30" s="13" t="inlineStr">
        <is>
          <t>Операционные траты за наличные</t>
        </is>
      </c>
      <c r="H30" s="15" t="n">
        <v>441805.634888516</v>
      </c>
      <c r="I30" s="15" t="n">
        <v>226961.82</v>
      </c>
      <c r="J30" s="22" t="inlineStr">
        <is>
          <t>Закрыть первичные документы по статье-резерву, установить лимит и план снижения до медианной доли выручки.</t>
        </is>
      </c>
    </row>
    <row r="31" ht="38" customHeight="1">
      <c r="C31" s="23" t="n">
        <v>10</v>
      </c>
      <c r="D31" s="13" t="inlineStr">
        <is>
          <t>МИРА</t>
        </is>
      </c>
      <c r="E31" s="24" t="n">
        <v>-221263.38</v>
      </c>
      <c r="F31" s="23" t="n">
        <v>4</v>
      </c>
      <c r="G31" s="13" t="inlineStr">
        <is>
          <t>ФОТ и налоги на персонал</t>
        </is>
      </c>
      <c r="H31" s="15" t="n">
        <v>398566.5633780748</v>
      </c>
      <c r="I31" s="15" t="n">
        <v>221263.38</v>
      </c>
      <c r="J31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32" ht="38" customHeight="1">
      <c r="C32" s="23" t="n">
        <v>11</v>
      </c>
      <c r="D32" s="13" t="inlineStr">
        <is>
          <t>РОС</t>
        </is>
      </c>
      <c r="E32" s="24" t="n">
        <v>-117424.4</v>
      </c>
      <c r="F32" s="23" t="n">
        <v>4</v>
      </c>
      <c r="G32" s="13" t="inlineStr">
        <is>
          <t>Коммунальные платежи за наличные</t>
        </is>
      </c>
      <c r="H32" s="15" t="n">
        <v>252342.5787796646</v>
      </c>
      <c r="I32" s="15" t="n">
        <v>117424.4</v>
      </c>
      <c r="J32" s="22" t="inlineStr">
        <is>
          <t>Закрыть первичные документы по статье-резерву, установить лимит и план снижения до медианной доли выручки.</t>
        </is>
      </c>
    </row>
    <row r="33" ht="38" customHeight="1">
      <c r="C33" s="23" t="n">
        <v>12</v>
      </c>
      <c r="D33" s="13" t="inlineStr">
        <is>
          <t>КИР2</t>
        </is>
      </c>
      <c r="E33" s="24" t="n">
        <v>-22676.47999999995</v>
      </c>
      <c r="F33" s="23" t="n">
        <v>3</v>
      </c>
      <c r="G33" s="13" t="inlineStr">
        <is>
          <t>ФОТ и налоги на персонал</t>
        </is>
      </c>
      <c r="H33" s="15" t="n">
        <v>253017.3668787356</v>
      </c>
      <c r="I33" s="15" t="n">
        <v>22676.47999999995</v>
      </c>
      <c r="J33" s="22" t="inlineStr">
        <is>
          <t>Сократить ФОТ до медианной доли выручки; пересмотреть смены и совмещение ролей. Контроль еженедельно.</t>
        </is>
      </c>
    </row>
    <row r="34"/>
    <row r="35" ht="20" customHeight="1">
      <c r="C35" s="4" t="inlineStr">
        <is>
          <t>Масштабирование успеха и защита от сезонных провалов</t>
        </is>
      </c>
    </row>
    <row r="36" ht="45" customHeight="1">
      <c r="C36" s="14" t="inlineStr">
        <is>
          <t>Масштабировать практики лидеров</t>
        </is>
      </c>
      <c r="D36" s="22" t="inlineStr">
        <is>
          <t>ПОРТ, КИР1 и А2 формируют 54,6% чистой прибыли сети. За 30 дней сравнить их ассортимент, закупочную маржу, часы персонала и аренду с 11 убыточными точками; перенести минимум три подтвержденные практики.</t>
        </is>
      </c>
    </row>
    <row r="37" ht="45" customHeight="1">
      <c r="C37" s="14" t="inlineStr">
        <is>
          <t>Защитить май–июль</t>
        </is>
      </c>
      <c r="D37" s="22" t="inlineStr">
        <is>
          <t>Март→май: выручка −20,3 млн руб., чистая прибыль −5,8 млн руб.; в июле валовая маржа упала до 23,9%. За 6 недель до периода провала зафиксировать закупочные цены, еженедельно проверять уценку и вводить лимиты на переменные расходы.</t>
        </is>
      </c>
    </row>
    <row r="38" ht="45" customHeight="1">
      <c r="C38" s="14" t="inlineStr">
        <is>
          <t>Провести контроль закрытия августа</t>
        </is>
      </c>
      <c r="D38" s="22" t="inlineStr">
        <is>
          <t>Августовская чистая маржа 13,2% выше июля на 11,6 п.п. при снижении выручки. Формулы корректны, но перед инвесторским использованием необходимо подтвердить начисления ФОТ, аренды, налогов и разовые операции.</t>
        </is>
      </c>
    </row>
  </sheetData>
  <mergeCells count="10">
    <mergeCell ref="D36:J36"/>
    <mergeCell ref="C5:K5"/>
    <mergeCell ref="C14:K14"/>
    <mergeCell ref="D38:J38"/>
    <mergeCell ref="C3:K3"/>
    <mergeCell ref="C8:K8"/>
    <mergeCell ref="C35:K35"/>
    <mergeCell ref="C20:K20"/>
    <mergeCell ref="D37:J37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&amp;C03_Аномалии_и_решения | Страница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C1:K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52" customWidth="1" min="4" max="4"/>
    <col width="5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8" customHeight="1"/>
    <row r="2" ht="8" customHeight="1"/>
    <row r="3" ht="27" customHeight="1">
      <c r="C3" s="1" t="inlineStr">
        <is>
          <t>Аудит формул и контроль расчетов</t>
        </is>
      </c>
    </row>
    <row r="4"/>
    <row r="5" ht="30" customHeight="1">
      <c r="C5" s="2" t="inlineStr">
        <is>
          <t>Проверка проводилась по всем листам-магазинам начиная с 4-го листа исходной книги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Результат проверки</t>
        </is>
      </c>
    </row>
    <row r="9" ht="30" customHeight="1">
      <c r="C9" s="12" t="inlineStr">
        <is>
          <t>Объект проверки</t>
        </is>
      </c>
      <c r="D9" s="12" t="inlineStr">
        <is>
          <t>Количество</t>
        </is>
      </c>
      <c r="E9" s="12" t="inlineStr">
        <is>
          <t>Результат</t>
        </is>
      </c>
    </row>
    <row r="10">
      <c r="C10" s="13" t="inlineStr">
        <is>
          <t>Листы-магазины</t>
        </is>
      </c>
      <c r="D10" s="18" t="n">
        <v>43</v>
      </c>
      <c r="E10" s="13" t="inlineStr">
        <is>
          <t>ПОРТ — РЕЗЕРВ4; первые 3 технических листа исключены из финансового рейтинга.</t>
        </is>
      </c>
    </row>
    <row r="11">
      <c r="C11" s="13" t="inlineStr">
        <is>
          <t>Месячные P&amp;L-блоки</t>
        </is>
      </c>
      <c r="D11" s="18" t="n">
        <v>516</v>
      </c>
      <c r="E11" s="13" t="inlineStr">
        <is>
          <t>12 блоков на каждом из 43 листов; арифметические связи и итоги проверены.</t>
        </is>
      </c>
    </row>
    <row r="12">
      <c r="C12" s="13" t="inlineStr">
        <is>
          <t>Формульные ячейки</t>
        </is>
      </c>
      <c r="D12" s="18" t="n">
        <v>310723</v>
      </c>
      <c r="E12" s="13" t="inlineStr">
        <is>
          <t>Сверка с независимым пересчетом совместимым табличным движком.</t>
        </is>
      </c>
    </row>
    <row r="13">
      <c r="C13" s="31" t="inlineStr">
        <is>
          <t>Ошибки #REF! / #DIV/0! / #VALUE!</t>
        </is>
      </c>
      <c r="D13" s="32" t="n">
        <v>0</v>
      </c>
      <c r="E13" s="31" t="inlineStr">
        <is>
          <t>Ошибок формул не выявлено.</t>
        </is>
      </c>
    </row>
    <row r="14">
      <c r="C14" s="31" t="inlineStr">
        <is>
          <t>Расхождения после независимого пересчета &gt; 0,15 руб.</t>
        </is>
      </c>
      <c r="D14" s="32" t="n">
        <v>0</v>
      </c>
      <c r="E14" s="31" t="inlineStr">
        <is>
          <t>Расхождений не выявлено.</t>
        </is>
      </c>
    </row>
    <row r="15"/>
    <row r="16"/>
    <row r="17"/>
    <row r="18" ht="20" customHeight="1">
      <c r="C18" s="4" t="inlineStr">
        <is>
          <t>Проверенные расчетные связи</t>
        </is>
      </c>
    </row>
    <row r="19" ht="30" customHeight="1">
      <c r="C19" s="33" t="inlineStr">
        <is>
          <t>✓</t>
        </is>
      </c>
      <c r="D19" s="22" t="inlineStr">
        <is>
          <t>Закупка = закупка копченая + закупка мороженая; продажа = продажа копченая + продажа мороженая.</t>
        </is>
      </c>
    </row>
    <row r="20" ht="30" customHeight="1">
      <c r="C20" s="33" t="inlineStr">
        <is>
          <t>✓</t>
        </is>
      </c>
      <c r="D20" s="22" t="inlineStr">
        <is>
          <t>Валовая прибыль = продажа − закупка; общая выручка = наличные + безналичные.</t>
        </is>
      </c>
    </row>
    <row r="21" ht="30" customHeight="1">
      <c r="C21" s="33" t="inlineStr">
        <is>
          <t>✓</t>
        </is>
      </c>
      <c r="D21" s="22" t="inlineStr">
        <is>
          <t>Наличные траты = сумма статей U:AC; банковская комиссия = −2% безналичной выручки.</t>
        </is>
      </c>
    </row>
    <row r="22" ht="30" customHeight="1">
      <c r="C22" s="33" t="inlineStr">
        <is>
          <t>✓</t>
        </is>
      </c>
      <c r="D22" s="22" t="inlineStr">
        <is>
          <t>Налог = −12% валовой прибыли; НДФЛ = −22% базы денежных выплат.</t>
        </is>
      </c>
    </row>
    <row r="23" ht="30" customHeight="1">
      <c r="C23" s="33" t="inlineStr">
        <is>
          <t>✓</t>
        </is>
      </c>
      <c r="D23" s="22" t="inlineStr">
        <is>
          <t>Переходящий остаток и месячные итоги сверены с дневными строками; чистая прибыль пересчитана по включенным статьям.</t>
        </is>
      </c>
    </row>
    <row r="24"/>
    <row r="25"/>
    <row r="26" ht="20" customHeight="1">
      <c r="C26" s="4" t="inlineStr">
        <is>
          <t>Аналитический red flag — не ошибка формул</t>
        </is>
      </c>
    </row>
    <row r="27">
      <c r="C27" s="34" t="inlineStr">
        <is>
          <t>В очищенной базе январь–июль минимум чистой прибыли приходится на июль (1,2 млн руб., маржа 1,6%). От марта к маю чистая прибыль сократилась на 5,4 млн руб.; валовая маржа к июлю снизилась до 23,9%.</t>
        </is>
      </c>
    </row>
    <row r="28"/>
  </sheetData>
  <mergeCells count="12">
    <mergeCell ref="D22:J22"/>
    <mergeCell ref="C5:K5"/>
    <mergeCell ref="C27:J28"/>
    <mergeCell ref="D21:J21"/>
    <mergeCell ref="D20:J20"/>
    <mergeCell ref="C18:K18"/>
    <mergeCell ref="C3:K3"/>
    <mergeCell ref="C26:K26"/>
    <mergeCell ref="C8:K8"/>
    <mergeCell ref="D19:J19"/>
    <mergeCell ref="D23:J23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&amp;C04_Аудит_формул | Страница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C1:K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5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8" customHeight="1"/>
    <row r="2" ht="8" customHeight="1"/>
    <row r="3" ht="27" customHeight="1">
      <c r="C3" s="1" t="inlineStr">
        <is>
          <t>Методология и определения</t>
        </is>
      </c>
    </row>
    <row r="4"/>
    <row r="5" ht="30" customHeight="1">
      <c r="C5" s="2" t="inlineStr">
        <is>
          <t>Период, база данных, расчеты и ограничения интерпретации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Период и источник</t>
        </is>
      </c>
    </row>
    <row r="9" ht="34" customHeight="1">
      <c r="C9" s="14" t="inlineStr">
        <is>
          <t>Источник</t>
        </is>
      </c>
      <c r="D9" s="22" t="inlineStr">
        <is>
          <t>учет2026.xlsm; фактические данные из листов 4–46. Первые 3 листа исключены по заданию.</t>
        </is>
      </c>
    </row>
    <row r="10" ht="34" customHeight="1">
      <c r="C10" s="14" t="inlineStr">
        <is>
          <t>Период</t>
        </is>
      </c>
      <c r="D10" s="22" t="inlineStr">
        <is>
          <t>2026 календарный год по имени файла; в исходных листах фактически заполнены январь–август. Сентябрь–декабрь нулевые.</t>
        </is>
      </c>
    </row>
    <row r="11" ht="34" customHeight="1">
      <c r="C11" s="14" t="inlineStr">
        <is>
          <t>Выручка</t>
        </is>
      </c>
      <c r="D11" s="22" t="inlineStr">
        <is>
          <t>Сумма строки «Продажа» (столбец H) в месячных блоках. Это операционная выручка, использованная для маржинальности.</t>
        </is>
      </c>
    </row>
    <row r="12" ht="34" customHeight="1">
      <c r="C12" s="14" t="inlineStr">
        <is>
          <t>Чистая прибыль</t>
        </is>
      </c>
      <c r="D12" s="22" t="inlineStr">
        <is>
          <t>Значение строки «Итог» (столбец AQ) для каждого месячного блока; годовой итог — сумма фактических месяцев.</t>
        </is>
      </c>
    </row>
    <row r="13" ht="34" customHeight="1">
      <c r="C13" s="14" t="inlineStr">
        <is>
          <t>Расходы</t>
        </is>
      </c>
      <c r="D13" s="22" t="inlineStr">
        <is>
          <t>Выручка минус чистая прибыль. Показатель включает закупочную себестоимость и статьи, вошедшие в расчет чистой прибыли.</t>
        </is>
      </c>
    </row>
    <row r="14" ht="34" customHeight="1">
      <c r="C14" s="14" t="inlineStr">
        <is>
          <t>Сопоставимый рейтинг</t>
        </is>
      </c>
      <c r="D14" s="22" t="inlineStr">
        <is>
          <t>Точки с выручкой не менее 1,0 млн руб. РЕЗ2 с выручкой 4,5 тыс. руб. и 7 нулевых/резервных листов не включены в рейтинг.</t>
        </is>
      </c>
    </row>
    <row r="15" ht="34" customHeight="1">
      <c r="C15" s="14" t="inlineStr">
        <is>
          <t>Ловушка выручки</t>
        </is>
      </c>
      <c r="D15" s="22" t="inlineStr">
        <is>
          <t>Выручка не ниже медианы сопоставимых точек и чистая маржа ниже 2,0%; при отсутствии таких точек применяется квартильный фильтр.</t>
        </is>
      </c>
    </row>
    <row r="16" ht="34" customHeight="1">
      <c r="C16" s="14" t="inlineStr">
        <is>
          <t>Скрытый герой</t>
        </is>
      </c>
      <c r="D16" s="22" t="inlineStr">
        <is>
          <t>Выручка ниже медианы сопоставимых точек и чистая маржа не ниже верхней трети распределения.</t>
        </is>
      </c>
    </row>
    <row r="17"/>
    <row r="18"/>
    <row r="19"/>
    <row r="20" ht="20" customHeight="1">
      <c r="C20" s="4" t="inlineStr">
        <is>
          <t>Ограничение управленческих выводов</t>
        </is>
      </c>
    </row>
    <row r="21">
      <c r="C21" s="35" t="inlineStr">
        <is>
          <t>Аудит подтверждает арифметическую целостность модели, но не заменяет проверку первичных документов, трафика, договоров аренды, ассортиментной матрицы и начислений. Рекомендации о закрытии/релокации построены как управленческие развилки: до решения необходимо подтвердить достижимость указанного резерва.</t>
        </is>
      </c>
    </row>
    <row r="22"/>
    <row r="23"/>
  </sheetData>
  <mergeCells count="14">
    <mergeCell ref="D14:J14"/>
    <mergeCell ref="C5:K5"/>
    <mergeCell ref="D9:J9"/>
    <mergeCell ref="D12:J12"/>
    <mergeCell ref="D13:J13"/>
    <mergeCell ref="D16:J16"/>
    <mergeCell ref="C3:K3"/>
    <mergeCell ref="D10:J10"/>
    <mergeCell ref="C8:K8"/>
    <mergeCell ref="D15:J15"/>
    <mergeCell ref="D11:J11"/>
    <mergeCell ref="C20:K20"/>
    <mergeCell ref="C21:J23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&amp;C05_Методология | Страница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А1</t>
        </is>
      </c>
    </row>
    <row r="4"/>
    <row r="5" ht="30" customHeight="1">
      <c r="C5" s="2" t="inlineStr">
        <is>
          <t>операционная точка | Данные по листу «А1»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516156.94</v>
      </c>
    </row>
    <row r="19">
      <c r="C19" s="14" t="inlineStr">
        <is>
          <t>Худший месяц</t>
        </is>
      </c>
      <c r="D19" s="13" t="n">
        <v>68280.40000000002</v>
      </c>
      <c r="E19" s="15" t="n">
        <v>68280.40000000002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7.7% против 4.6%. Результат поддержан валовой маржой 27.4%; крупнейшая контролируемая статья — Закупочная себестоимость 18,455,255.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3641787</v>
      </c>
      <c r="E25" s="15" t="n">
        <v>2642566</v>
      </c>
      <c r="F25" s="15" t="n">
        <v>999221</v>
      </c>
      <c r="G25" s="16" t="n">
        <v>0</v>
      </c>
      <c r="H25" s="15" t="n">
        <v>284949.4199999999</v>
      </c>
      <c r="I25" s="16" t="n">
        <v>0</v>
      </c>
      <c r="J25" s="15" t="n">
        <v>145000</v>
      </c>
      <c r="K25" s="15" t="n">
        <v>239877</v>
      </c>
      <c r="L25" s="15" t="n">
        <v>2140</v>
      </c>
      <c r="M25" s="15" t="n">
        <v>82100</v>
      </c>
    </row>
    <row r="26">
      <c r="C26" s="13" t="inlineStr">
        <is>
          <t>Февраль</t>
        </is>
      </c>
      <c r="D26" s="15" t="n">
        <v>3669215</v>
      </c>
      <c r="E26" s="15" t="n">
        <v>2609239</v>
      </c>
      <c r="F26" s="15" t="n">
        <v>1059976</v>
      </c>
      <c r="G26" s="16" t="n">
        <v>0</v>
      </c>
      <c r="H26" s="15" t="n">
        <v>362173.82</v>
      </c>
      <c r="I26" s="16" t="n">
        <v>0</v>
      </c>
      <c r="J26" s="15" t="n">
        <v>145000</v>
      </c>
      <c r="K26" s="15" t="n">
        <v>253528</v>
      </c>
      <c r="L26" s="15" t="n">
        <v>2465</v>
      </c>
      <c r="M26" s="15" t="n">
        <v>36500</v>
      </c>
    </row>
    <row r="27">
      <c r="C27" s="13" t="inlineStr">
        <is>
          <t>Март</t>
        </is>
      </c>
      <c r="D27" s="15" t="n">
        <v>4616909</v>
      </c>
      <c r="E27" s="15" t="n">
        <v>3314033</v>
      </c>
      <c r="F27" s="15" t="n">
        <v>1302876</v>
      </c>
      <c r="G27" s="16" t="n">
        <v>0</v>
      </c>
      <c r="H27" s="15" t="n">
        <v>516156.94</v>
      </c>
      <c r="I27" s="16" t="n">
        <v>0</v>
      </c>
      <c r="J27" s="15" t="n">
        <v>145000</v>
      </c>
      <c r="K27" s="15" t="n">
        <v>301028</v>
      </c>
      <c r="L27" s="15" t="n">
        <v>5602</v>
      </c>
      <c r="M27" s="15" t="n">
        <v>36000</v>
      </c>
    </row>
    <row r="28">
      <c r="C28" s="13" t="inlineStr">
        <is>
          <t>Апрель</t>
        </is>
      </c>
      <c r="D28" s="15" t="n">
        <v>3684337</v>
      </c>
      <c r="E28" s="15" t="n">
        <v>2687145</v>
      </c>
      <c r="F28" s="15" t="n">
        <v>997192</v>
      </c>
      <c r="G28" s="16" t="n">
        <v>0</v>
      </c>
      <c r="H28" s="15" t="n">
        <v>283211.3599999999</v>
      </c>
      <c r="I28" s="16" t="n">
        <v>0</v>
      </c>
      <c r="J28" s="15" t="n">
        <v>145000</v>
      </c>
      <c r="K28" s="15" t="n">
        <v>274809.8</v>
      </c>
      <c r="L28" s="15" t="n">
        <v>1545</v>
      </c>
      <c r="M28" s="15" t="n">
        <v>47700</v>
      </c>
    </row>
    <row r="29">
      <c r="C29" s="13" t="inlineStr">
        <is>
          <t>Май</t>
        </is>
      </c>
      <c r="D29" s="15" t="n">
        <v>2960341</v>
      </c>
      <c r="E29" s="15" t="n">
        <v>2173534</v>
      </c>
      <c r="F29" s="15" t="n">
        <v>786807</v>
      </c>
      <c r="G29" s="16" t="n">
        <v>0</v>
      </c>
      <c r="H29" s="15" t="n">
        <v>161039.58</v>
      </c>
      <c r="I29" s="16" t="n">
        <v>0</v>
      </c>
      <c r="J29" s="15" t="n">
        <v>145000</v>
      </c>
      <c r="K29" s="15" t="n">
        <v>252687</v>
      </c>
      <c r="L29" s="15" t="n">
        <v>5824</v>
      </c>
      <c r="M29" s="15" t="n">
        <v>36000</v>
      </c>
    </row>
    <row r="30">
      <c r="C30" s="13" t="inlineStr">
        <is>
          <t>Июнь</t>
        </is>
      </c>
      <c r="D30" s="15" t="n">
        <v>3265476</v>
      </c>
      <c r="E30" s="15" t="n">
        <v>2388698</v>
      </c>
      <c r="F30" s="15" t="n">
        <v>876778</v>
      </c>
      <c r="G30" s="16" t="n">
        <v>0</v>
      </c>
      <c r="H30" s="15" t="n">
        <v>279483.42</v>
      </c>
      <c r="I30" s="16" t="n">
        <v>0</v>
      </c>
      <c r="J30" s="15" t="n">
        <v>145000</v>
      </c>
      <c r="K30" s="15" t="n">
        <v>223692</v>
      </c>
      <c r="L30" s="15" t="n">
        <v>2338</v>
      </c>
      <c r="M30" s="15" t="n">
        <v>25700</v>
      </c>
    </row>
    <row r="31">
      <c r="C31" s="13" t="inlineStr">
        <is>
          <t>Июль</t>
        </is>
      </c>
      <c r="D31" s="15" t="n">
        <v>3581087</v>
      </c>
      <c r="E31" s="15" t="n">
        <v>2640040</v>
      </c>
      <c r="F31" s="15" t="n">
        <v>941047</v>
      </c>
      <c r="G31" s="16" t="n">
        <v>0</v>
      </c>
      <c r="H31" s="15" t="n">
        <v>68280.40000000002</v>
      </c>
      <c r="I31" s="16" t="n">
        <v>0</v>
      </c>
      <c r="J31" s="15" t="n">
        <v>145000</v>
      </c>
      <c r="K31" s="15" t="n">
        <v>446248</v>
      </c>
      <c r="L31" s="15" t="n">
        <v>4284</v>
      </c>
      <c r="M31" s="15" t="n">
        <v>59700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&amp;CМ_А1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А2</t>
        </is>
      </c>
    </row>
    <row r="4"/>
    <row r="5" ht="30" customHeight="1">
      <c r="C5" s="2" t="inlineStr">
        <is>
          <t>операционная точка | Данные по листу «А2»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768418.5</v>
      </c>
    </row>
    <row r="19">
      <c r="C19" s="14" t="inlineStr">
        <is>
          <t>Худший месяц</t>
        </is>
      </c>
      <c r="D19" s="13" t="n">
        <v>302769.84</v>
      </c>
      <c r="E19" s="15" t="n">
        <v>302769.84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10.6% против 4.6%. Результат поддержан валовой маржой 26.7%; крупнейшая контролируемая статья — Закупочная себестоимость 28,680,843.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5086306</v>
      </c>
      <c r="E25" s="15" t="n">
        <v>3660377</v>
      </c>
      <c r="F25" s="15" t="n">
        <v>1425929</v>
      </c>
      <c r="G25" s="16" t="n">
        <v>0</v>
      </c>
      <c r="H25" s="15" t="n">
        <v>598546.96</v>
      </c>
      <c r="I25" s="16" t="n">
        <v>0</v>
      </c>
      <c r="J25" s="15" t="n">
        <v>190000</v>
      </c>
      <c r="K25" s="15" t="n">
        <v>258112</v>
      </c>
      <c r="L25" s="15" t="n">
        <v>11409</v>
      </c>
      <c r="M25" s="15" t="n">
        <v>31500</v>
      </c>
    </row>
    <row r="26">
      <c r="C26" s="13" t="inlineStr">
        <is>
          <t>Февраль</t>
        </is>
      </c>
      <c r="D26" s="15" t="n">
        <v>5930539</v>
      </c>
      <c r="E26" s="15" t="n">
        <v>4269961</v>
      </c>
      <c r="F26" s="15" t="n">
        <v>1660578</v>
      </c>
      <c r="G26" s="16" t="n">
        <v>0</v>
      </c>
      <c r="H26" s="15" t="n">
        <v>694650.46</v>
      </c>
      <c r="I26" s="16" t="n">
        <v>0</v>
      </c>
      <c r="J26" s="15" t="n">
        <v>190000</v>
      </c>
      <c r="K26" s="15" t="n">
        <v>330071.6</v>
      </c>
      <c r="L26" s="15" t="n">
        <v>28496</v>
      </c>
      <c r="M26" s="15" t="n">
        <v>25080</v>
      </c>
    </row>
    <row r="27">
      <c r="C27" s="13" t="inlineStr">
        <is>
          <t>Март</t>
        </is>
      </c>
      <c r="D27" s="15" t="n">
        <v>6522730</v>
      </c>
      <c r="E27" s="15" t="n">
        <v>4743828</v>
      </c>
      <c r="F27" s="15" t="n">
        <v>1778902</v>
      </c>
      <c r="G27" s="16" t="n">
        <v>0</v>
      </c>
      <c r="H27" s="15" t="n">
        <v>768418.5</v>
      </c>
      <c r="I27" s="16" t="n">
        <v>0</v>
      </c>
      <c r="J27" s="15" t="n">
        <v>190000</v>
      </c>
      <c r="K27" s="15" t="n">
        <v>352960.02</v>
      </c>
      <c r="L27" s="15" t="n">
        <v>798</v>
      </c>
      <c r="M27" s="15" t="n">
        <v>25361</v>
      </c>
    </row>
    <row r="28">
      <c r="C28" s="13" t="inlineStr">
        <is>
          <t>Апрель</t>
        </is>
      </c>
      <c r="D28" s="15" t="n">
        <v>6567967</v>
      </c>
      <c r="E28" s="15" t="n">
        <v>4847759</v>
      </c>
      <c r="F28" s="15" t="n">
        <v>1720208</v>
      </c>
      <c r="G28" s="16" t="n">
        <v>0</v>
      </c>
      <c r="H28" s="15" t="n">
        <v>718604.3</v>
      </c>
      <c r="I28" s="16" t="n">
        <v>0</v>
      </c>
      <c r="J28" s="15" t="n">
        <v>190000</v>
      </c>
      <c r="K28" s="15" t="n">
        <v>378884</v>
      </c>
      <c r="L28" s="15" t="n">
        <v>14863</v>
      </c>
      <c r="M28" s="15" t="n">
        <v>31500</v>
      </c>
    </row>
    <row r="29">
      <c r="C29" s="13" t="inlineStr">
        <is>
          <t>Май</t>
        </is>
      </c>
      <c r="D29" s="15" t="n">
        <v>4858921</v>
      </c>
      <c r="E29" s="15" t="n">
        <v>3580518</v>
      </c>
      <c r="F29" s="15" t="n">
        <v>1278403</v>
      </c>
      <c r="G29" s="16" t="n">
        <v>0</v>
      </c>
      <c r="H29" s="15" t="n">
        <v>555606.3400000001</v>
      </c>
      <c r="I29" s="16" t="n">
        <v>0</v>
      </c>
      <c r="J29" s="15" t="n">
        <v>190000</v>
      </c>
      <c r="K29" s="15" t="n">
        <v>219756.32</v>
      </c>
      <c r="L29" s="15" t="n">
        <v>0</v>
      </c>
      <c r="M29" s="15" t="n">
        <v>26606</v>
      </c>
    </row>
    <row r="30">
      <c r="C30" s="13" t="inlineStr">
        <is>
          <t>Июнь</t>
        </is>
      </c>
      <c r="D30" s="15" t="n">
        <v>5109829</v>
      </c>
      <c r="E30" s="15" t="n">
        <v>3778392</v>
      </c>
      <c r="F30" s="15" t="n">
        <v>1331437</v>
      </c>
      <c r="G30" s="16" t="n">
        <v>0</v>
      </c>
      <c r="H30" s="15" t="n">
        <v>529258.26</v>
      </c>
      <c r="I30" s="16" t="n">
        <v>0</v>
      </c>
      <c r="J30" s="15" t="n">
        <v>190000</v>
      </c>
      <c r="K30" s="15" t="n">
        <v>278705.04</v>
      </c>
      <c r="L30" s="15" t="n">
        <v>34379</v>
      </c>
      <c r="M30" s="15" t="n">
        <v>28628</v>
      </c>
    </row>
    <row r="31">
      <c r="C31" s="13" t="inlineStr">
        <is>
          <t>Июль</t>
        </is>
      </c>
      <c r="D31" s="15" t="n">
        <v>5078431</v>
      </c>
      <c r="E31" s="15" t="n">
        <v>3800008</v>
      </c>
      <c r="F31" s="15" t="n">
        <v>1278423</v>
      </c>
      <c r="G31" s="16" t="n">
        <v>0</v>
      </c>
      <c r="H31" s="15" t="n">
        <v>302769.84</v>
      </c>
      <c r="I31" s="16" t="n">
        <v>0</v>
      </c>
      <c r="J31" s="15" t="n">
        <v>190000</v>
      </c>
      <c r="K31" s="15" t="n">
        <v>408073.3</v>
      </c>
      <c r="L31" s="15" t="n">
        <v>3555</v>
      </c>
      <c r="M31" s="15" t="n">
        <v>83615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&amp;CМ_А2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А3</t>
        </is>
      </c>
    </row>
    <row r="4"/>
    <row r="5" ht="30" customHeight="1">
      <c r="C5" s="2" t="inlineStr">
        <is>
          <t>операционная точка | Данные по листу «А3»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Июнь</t>
        </is>
      </c>
      <c r="E18" s="15" t="n">
        <v>155853.78</v>
      </c>
    </row>
    <row r="19">
      <c r="C19" s="14" t="inlineStr">
        <is>
          <t>Худший месяц</t>
        </is>
      </c>
      <c r="D19" s="13" t="n">
        <v>-594.139999999983</v>
      </c>
      <c r="E19" s="15" t="n">
        <v>-594.139999999983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4.4% против 4.6%. Ключевая нагрузка — Закупочная себестоимость 9,025,695; резерв к медиане — «Аренда» (403,430).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1949255</v>
      </c>
      <c r="E25" s="15" t="n">
        <v>1407751</v>
      </c>
      <c r="F25" s="15" t="n">
        <v>541504</v>
      </c>
      <c r="G25" s="16" t="n">
        <v>0</v>
      </c>
      <c r="H25" s="15" t="n">
        <v>40579.43999999998</v>
      </c>
      <c r="I25" s="16" t="n">
        <v>0</v>
      </c>
      <c r="J25" s="15" t="n">
        <v>170000</v>
      </c>
      <c r="K25" s="15" t="n">
        <v>115107.04</v>
      </c>
      <c r="L25" s="15" t="n">
        <v>59099</v>
      </c>
      <c r="M25" s="15" t="n">
        <v>14000</v>
      </c>
    </row>
    <row r="26">
      <c r="C26" s="13" t="inlineStr">
        <is>
          <t>Февраль</t>
        </is>
      </c>
      <c r="D26" s="15" t="n">
        <v>1815107</v>
      </c>
      <c r="E26" s="15" t="n">
        <v>1315746</v>
      </c>
      <c r="F26" s="15" t="n">
        <v>499361</v>
      </c>
      <c r="G26" s="16" t="n">
        <v>0</v>
      </c>
      <c r="H26" s="15" t="n">
        <v>46460.25999999999</v>
      </c>
      <c r="I26" s="16" t="n">
        <v>0</v>
      </c>
      <c r="J26" s="15" t="n">
        <v>170000</v>
      </c>
      <c r="K26" s="15" t="n">
        <v>96636.32000000001</v>
      </c>
      <c r="L26" s="15" t="n">
        <v>0</v>
      </c>
      <c r="M26" s="15" t="n">
        <v>12256</v>
      </c>
    </row>
    <row r="27">
      <c r="C27" s="13" t="inlineStr">
        <is>
          <t>Март</t>
        </is>
      </c>
      <c r="D27" s="15" t="n">
        <v>2214340</v>
      </c>
      <c r="E27" s="15" t="n">
        <v>1608972</v>
      </c>
      <c r="F27" s="15" t="n">
        <v>605368</v>
      </c>
      <c r="G27" s="16" t="n">
        <v>0</v>
      </c>
      <c r="H27" s="15" t="n">
        <v>113946.12</v>
      </c>
      <c r="I27" s="16" t="n">
        <v>0</v>
      </c>
      <c r="J27" s="15" t="n">
        <v>170000</v>
      </c>
      <c r="K27" s="15" t="n">
        <v>117380</v>
      </c>
      <c r="L27" s="15" t="n">
        <v>4329</v>
      </c>
      <c r="M27" s="15" t="n">
        <v>9500</v>
      </c>
    </row>
    <row r="28">
      <c r="C28" s="13" t="inlineStr">
        <is>
          <t>Апрель</t>
        </is>
      </c>
      <c r="D28" s="15" t="n">
        <v>2354335</v>
      </c>
      <c r="E28" s="15" t="n">
        <v>1736386</v>
      </c>
      <c r="F28" s="15" t="n">
        <v>617949</v>
      </c>
      <c r="G28" s="16" t="n">
        <v>0</v>
      </c>
      <c r="H28" s="15" t="n">
        <v>115713.9</v>
      </c>
      <c r="I28" s="16" t="n">
        <v>0</v>
      </c>
      <c r="J28" s="15" t="n">
        <v>170000</v>
      </c>
      <c r="K28" s="15" t="n">
        <v>133790</v>
      </c>
      <c r="L28" s="15" t="n">
        <v>716</v>
      </c>
      <c r="M28" s="15" t="n">
        <v>12000</v>
      </c>
    </row>
    <row r="29">
      <c r="C29" s="13" t="inlineStr">
        <is>
          <t>Май</t>
        </is>
      </c>
      <c r="D29" s="15" t="n">
        <v>1444671</v>
      </c>
      <c r="E29" s="15" t="n">
        <v>1075431</v>
      </c>
      <c r="F29" s="15" t="n">
        <v>369240</v>
      </c>
      <c r="G29" s="16" t="n">
        <v>0</v>
      </c>
      <c r="H29" s="15" t="n">
        <v>-594.139999999983</v>
      </c>
      <c r="I29" s="16" t="n">
        <v>0</v>
      </c>
      <c r="J29" s="15" t="n">
        <v>170000</v>
      </c>
      <c r="K29" s="15" t="n">
        <v>70333.22</v>
      </c>
      <c r="L29" s="15" t="n">
        <v>20413</v>
      </c>
      <c r="M29" s="15" t="n">
        <v>9151</v>
      </c>
    </row>
    <row r="30">
      <c r="C30" s="13" t="inlineStr">
        <is>
          <t>Июнь</t>
        </is>
      </c>
      <c r="D30" s="15" t="n">
        <v>1430769</v>
      </c>
      <c r="E30" s="15" t="n">
        <v>1061384</v>
      </c>
      <c r="F30" s="15" t="n">
        <v>369385</v>
      </c>
      <c r="G30" s="16" t="n">
        <v>0</v>
      </c>
      <c r="H30" s="15" t="n">
        <v>155853.78</v>
      </c>
      <c r="I30" s="16" t="n">
        <v>0</v>
      </c>
      <c r="J30" s="15" t="n">
        <v>0</v>
      </c>
      <c r="K30" s="15" t="n">
        <v>125258.02</v>
      </c>
      <c r="L30" s="15" t="n">
        <v>0</v>
      </c>
      <c r="M30" s="15" t="n">
        <v>6491</v>
      </c>
    </row>
    <row r="31">
      <c r="C31" s="13" t="inlineStr">
        <is>
          <t>Июль</t>
        </is>
      </c>
      <c r="D31" s="15" t="n">
        <v>1090571</v>
      </c>
      <c r="E31" s="15" t="n">
        <v>820025</v>
      </c>
      <c r="F31" s="15" t="n">
        <v>270546</v>
      </c>
      <c r="G31" s="16" t="n">
        <v>0</v>
      </c>
      <c r="H31" s="15" t="n">
        <v>74276.22</v>
      </c>
      <c r="I31" s="16" t="n">
        <v>0</v>
      </c>
      <c r="J31" s="15" t="n">
        <v>0</v>
      </c>
      <c r="K31" s="15" t="n">
        <v>124047.56</v>
      </c>
      <c r="L31" s="15" t="n">
        <v>5723</v>
      </c>
      <c r="M31" s="15" t="n">
        <v>20398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&amp;CМ_А3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ГС1</t>
        </is>
      </c>
    </row>
    <row r="4"/>
    <row r="5" ht="30" customHeight="1">
      <c r="C5" s="2" t="inlineStr">
        <is>
          <t>операционная точка | Данные по листу «ГС1»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169310.54</v>
      </c>
    </row>
    <row r="19">
      <c r="C19" s="14" t="inlineStr">
        <is>
          <t>Худший месяц</t>
        </is>
      </c>
      <c r="D19" s="13" t="n">
        <v>-147259.74</v>
      </c>
      <c r="E19" s="15" t="n">
        <v>-147259.74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1.7% против 4.6%. Ключевая нагрузка — Закупочная себестоимость 11,217,891; резерв к медиане — «ФОТ и налоги на персонал» (363,488).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1943858</v>
      </c>
      <c r="E25" s="15" t="n">
        <v>1408907</v>
      </c>
      <c r="F25" s="15" t="n">
        <v>534951</v>
      </c>
      <c r="G25" s="16" t="n">
        <v>0</v>
      </c>
      <c r="H25" s="15" t="n">
        <v>76694.45999999999</v>
      </c>
      <c r="I25" s="16" t="n">
        <v>0</v>
      </c>
      <c r="J25" s="15" t="n">
        <v>88500</v>
      </c>
      <c r="K25" s="15" t="n">
        <v>191600.84</v>
      </c>
      <c r="L25" s="15" t="n">
        <v>17526</v>
      </c>
      <c r="M25" s="15" t="n">
        <v>39722</v>
      </c>
    </row>
    <row r="26">
      <c r="C26" s="13" t="inlineStr">
        <is>
          <t>Февраль</t>
        </is>
      </c>
      <c r="D26" s="15" t="n">
        <v>2474087</v>
      </c>
      <c r="E26" s="15" t="n">
        <v>1771768</v>
      </c>
      <c r="F26" s="15" t="n">
        <v>702319</v>
      </c>
      <c r="G26" s="16" t="n">
        <v>0</v>
      </c>
      <c r="H26" s="15" t="n">
        <v>169310.54</v>
      </c>
      <c r="I26" s="16" t="n">
        <v>0</v>
      </c>
      <c r="J26" s="15" t="n">
        <v>88500</v>
      </c>
      <c r="K26" s="15" t="n">
        <v>266269.3</v>
      </c>
      <c r="L26" s="15" t="n">
        <v>8309</v>
      </c>
      <c r="M26" s="15" t="n">
        <v>15115</v>
      </c>
    </row>
    <row r="27">
      <c r="C27" s="13" t="inlineStr">
        <is>
          <t>Март</t>
        </is>
      </c>
      <c r="D27" s="15" t="n">
        <v>2119802</v>
      </c>
      <c r="E27" s="15" t="n">
        <v>1551914</v>
      </c>
      <c r="F27" s="15" t="n">
        <v>567888</v>
      </c>
      <c r="G27" s="16" t="n">
        <v>0</v>
      </c>
      <c r="H27" s="15" t="n">
        <v>25045.59999999998</v>
      </c>
      <c r="I27" s="16" t="n">
        <v>0</v>
      </c>
      <c r="J27" s="15" t="n">
        <v>88500</v>
      </c>
      <c r="K27" s="15" t="n">
        <v>297356.32</v>
      </c>
      <c r="L27" s="15" t="n">
        <v>14926</v>
      </c>
      <c r="M27" s="15" t="n">
        <v>14764</v>
      </c>
    </row>
    <row r="28">
      <c r="C28" s="13" t="inlineStr">
        <is>
          <t>Апрель</t>
        </is>
      </c>
      <c r="D28" s="15" t="n">
        <v>2290807</v>
      </c>
      <c r="E28" s="15" t="n">
        <v>1689227</v>
      </c>
      <c r="F28" s="15" t="n">
        <v>601580</v>
      </c>
      <c r="G28" s="16" t="n">
        <v>0</v>
      </c>
      <c r="H28" s="15" t="n">
        <v>41152.19999999998</v>
      </c>
      <c r="I28" s="16" t="n">
        <v>0</v>
      </c>
      <c r="J28" s="15" t="n">
        <v>88500</v>
      </c>
      <c r="K28" s="15" t="n">
        <v>291060.66</v>
      </c>
      <c r="L28" s="15" t="n">
        <v>3859</v>
      </c>
      <c r="M28" s="15" t="n">
        <v>24533</v>
      </c>
    </row>
    <row r="29">
      <c r="C29" s="13" t="inlineStr">
        <is>
          <t>Май</t>
        </is>
      </c>
      <c r="D29" s="15" t="n">
        <v>2055346</v>
      </c>
      <c r="E29" s="15" t="n">
        <v>1531675</v>
      </c>
      <c r="F29" s="15" t="n">
        <v>523671</v>
      </c>
      <c r="G29" s="16" t="n">
        <v>0</v>
      </c>
      <c r="H29" s="15" t="n">
        <v>45270.15999999997</v>
      </c>
      <c r="I29" s="16" t="n">
        <v>0</v>
      </c>
      <c r="J29" s="15" t="n">
        <v>88500</v>
      </c>
      <c r="K29" s="15" t="n">
        <v>232675.68</v>
      </c>
      <c r="L29" s="15" t="n">
        <v>49174</v>
      </c>
      <c r="M29" s="15" t="n">
        <v>16234</v>
      </c>
    </row>
    <row r="30">
      <c r="C30" s="13" t="inlineStr">
        <is>
          <t>Июнь</t>
        </is>
      </c>
      <c r="D30" s="15" t="n">
        <v>2211764</v>
      </c>
      <c r="E30" s="15" t="n">
        <v>1647620</v>
      </c>
      <c r="F30" s="15" t="n">
        <v>564144</v>
      </c>
      <c r="G30" s="16" t="n">
        <v>0</v>
      </c>
      <c r="H30" s="15" t="n">
        <v>46421.59999999998</v>
      </c>
      <c r="I30" s="16" t="n">
        <v>0</v>
      </c>
      <c r="J30" s="15" t="n">
        <v>88500</v>
      </c>
      <c r="K30" s="15" t="n">
        <v>264076.56</v>
      </c>
      <c r="L30" s="15" t="n">
        <v>62387</v>
      </c>
      <c r="M30" s="15" t="n">
        <v>21865</v>
      </c>
    </row>
    <row r="31">
      <c r="C31" s="13" t="inlineStr">
        <is>
          <t>Июль</t>
        </is>
      </c>
      <c r="D31" s="15" t="n">
        <v>2126134</v>
      </c>
      <c r="E31" s="15" t="n">
        <v>1616780</v>
      </c>
      <c r="F31" s="15" t="n">
        <v>509354</v>
      </c>
      <c r="G31" s="16" t="n">
        <v>0</v>
      </c>
      <c r="H31" s="15" t="n">
        <v>-147259.74</v>
      </c>
      <c r="I31" s="16" t="n">
        <v>0</v>
      </c>
      <c r="J31" s="15" t="n">
        <v>88500</v>
      </c>
      <c r="K31" s="15" t="n">
        <v>393658.18</v>
      </c>
      <c r="L31" s="15" t="n">
        <v>160876</v>
      </c>
      <c r="M31" s="15" t="n">
        <v>33186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&amp;CМ_ГС1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ГС2</t>
        </is>
      </c>
    </row>
    <row r="4"/>
    <row r="5" ht="30" customHeight="1">
      <c r="C5" s="2" t="inlineStr">
        <is>
          <t>операционная точка | Данные по листу «ГС2»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261301.34</v>
      </c>
    </row>
    <row r="19">
      <c r="C19" s="14" t="inlineStr">
        <is>
          <t>Худший месяц</t>
        </is>
      </c>
      <c r="D19" s="13" t="n">
        <v>-37756.84000000004</v>
      </c>
      <c r="E19" s="15" t="n">
        <v>-37756.84000000004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5.1% против 4.6%. Результат поддержан валовой маржой 25.8%; крупнейшая контролируемая статья — Закупочная себестоимость 10,985,453.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1356861</v>
      </c>
      <c r="E25" s="15" t="n">
        <v>1013704</v>
      </c>
      <c r="F25" s="15" t="n">
        <v>343157</v>
      </c>
      <c r="G25" s="16" t="n">
        <v>0</v>
      </c>
      <c r="H25" s="15" t="n">
        <v>53603.24</v>
      </c>
      <c r="I25" s="16" t="n">
        <v>0</v>
      </c>
      <c r="J25" s="15" t="n">
        <v>65000</v>
      </c>
      <c r="K25" s="15" t="n">
        <v>88499.25999999999</v>
      </c>
      <c r="L25" s="15" t="n">
        <v>50741</v>
      </c>
      <c r="M25" s="15" t="n">
        <v>15283</v>
      </c>
    </row>
    <row r="26">
      <c r="C26" s="13" t="inlineStr">
        <is>
          <t>Февраль</t>
        </is>
      </c>
      <c r="D26" s="15" t="n">
        <v>2071375</v>
      </c>
      <c r="E26" s="15" t="n">
        <v>1512037</v>
      </c>
      <c r="F26" s="15" t="n">
        <v>559338</v>
      </c>
      <c r="G26" s="16" t="n">
        <v>0</v>
      </c>
      <c r="H26" s="15" t="n">
        <v>134773.58</v>
      </c>
      <c r="I26" s="16" t="n">
        <v>0</v>
      </c>
      <c r="J26" s="15" t="n">
        <v>65000</v>
      </c>
      <c r="K26" s="15" t="n">
        <v>191987.02</v>
      </c>
      <c r="L26" s="15" t="n">
        <v>29511</v>
      </c>
      <c r="M26" s="15" t="n">
        <v>7941</v>
      </c>
    </row>
    <row r="27">
      <c r="C27" s="13" t="inlineStr">
        <is>
          <t>Март</t>
        </is>
      </c>
      <c r="D27" s="15" t="n">
        <v>2434799</v>
      </c>
      <c r="E27" s="15" t="n">
        <v>1768790</v>
      </c>
      <c r="F27" s="15" t="n">
        <v>666009</v>
      </c>
      <c r="G27" s="16" t="n">
        <v>0</v>
      </c>
      <c r="H27" s="15" t="n">
        <v>261301.34</v>
      </c>
      <c r="I27" s="16" t="n">
        <v>0</v>
      </c>
      <c r="J27" s="15" t="n">
        <v>65000</v>
      </c>
      <c r="K27" s="15" t="n">
        <v>155229.2</v>
      </c>
      <c r="L27" s="15" t="n">
        <v>40824</v>
      </c>
      <c r="M27" s="15" t="n">
        <v>9630</v>
      </c>
    </row>
    <row r="28">
      <c r="C28" s="13" t="inlineStr">
        <is>
          <t>Апрель</t>
        </is>
      </c>
      <c r="D28" s="15" t="n">
        <v>1991797</v>
      </c>
      <c r="E28" s="15" t="n">
        <v>1467564</v>
      </c>
      <c r="F28" s="15" t="n">
        <v>524233</v>
      </c>
      <c r="G28" s="16" t="n">
        <v>0</v>
      </c>
      <c r="H28" s="15" t="n">
        <v>23778.64000000005</v>
      </c>
      <c r="I28" s="16" t="n">
        <v>0</v>
      </c>
      <c r="J28" s="15" t="n">
        <v>65000</v>
      </c>
      <c r="K28" s="15" t="n">
        <v>266904.04</v>
      </c>
      <c r="L28" s="15" t="n">
        <v>13693</v>
      </c>
      <c r="M28" s="15" t="n">
        <v>12552</v>
      </c>
    </row>
    <row r="29">
      <c r="C29" s="13" t="inlineStr">
        <is>
          <t>Май</t>
        </is>
      </c>
      <c r="D29" s="15" t="n">
        <v>2201987</v>
      </c>
      <c r="E29" s="15" t="n">
        <v>1648265</v>
      </c>
      <c r="F29" s="15" t="n">
        <v>553722</v>
      </c>
      <c r="G29" s="16" t="n">
        <v>0</v>
      </c>
      <c r="H29" s="15" t="n">
        <v>141548.96</v>
      </c>
      <c r="I29" s="16" t="n">
        <v>0</v>
      </c>
      <c r="J29" s="15" t="n">
        <v>65000</v>
      </c>
      <c r="K29" s="15" t="n">
        <v>182850.44</v>
      </c>
      <c r="L29" s="15" t="n">
        <v>11278</v>
      </c>
      <c r="M29" s="15" t="n">
        <v>7002</v>
      </c>
    </row>
    <row r="30">
      <c r="C30" s="13" t="inlineStr">
        <is>
          <t>Июнь</t>
        </is>
      </c>
      <c r="D30" s="15" t="n">
        <v>2409126</v>
      </c>
      <c r="E30" s="15" t="n">
        <v>1789885</v>
      </c>
      <c r="F30" s="15" t="n">
        <v>619241</v>
      </c>
      <c r="G30" s="16" t="n">
        <v>0</v>
      </c>
      <c r="H30" s="15" t="n">
        <v>175934.84</v>
      </c>
      <c r="I30" s="16" t="n">
        <v>0</v>
      </c>
      <c r="J30" s="15" t="n">
        <v>65000</v>
      </c>
      <c r="K30" s="15" t="n">
        <v>200391.56</v>
      </c>
      <c r="L30" s="15" t="n">
        <v>68038</v>
      </c>
      <c r="M30" s="15" t="n">
        <v>8976</v>
      </c>
    </row>
    <row r="31">
      <c r="C31" s="13" t="inlineStr">
        <is>
          <t>Июль</t>
        </is>
      </c>
      <c r="D31" s="15" t="n">
        <v>2346006</v>
      </c>
      <c r="E31" s="15" t="n">
        <v>1785208</v>
      </c>
      <c r="F31" s="15" t="n">
        <v>560798</v>
      </c>
      <c r="G31" s="16" t="n">
        <v>0</v>
      </c>
      <c r="H31" s="15" t="n">
        <v>-37756.84000000004</v>
      </c>
      <c r="I31" s="16" t="n">
        <v>0</v>
      </c>
      <c r="J31" s="15" t="n">
        <v>65000</v>
      </c>
      <c r="K31" s="15" t="n">
        <v>340229.8</v>
      </c>
      <c r="L31" s="15" t="n">
        <v>23130</v>
      </c>
      <c r="M31" s="15" t="n">
        <v>29590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&amp;CМ_ГС2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ЗАО</t>
        </is>
      </c>
    </row>
    <row r="4"/>
    <row r="5" ht="30" customHeight="1">
      <c r="C5" s="2" t="inlineStr">
        <is>
          <t>операционная точка | Данные по листу «ЗАО»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98182.96000000001</v>
      </c>
    </row>
    <row r="19">
      <c r="C19" s="14" t="inlineStr">
        <is>
          <t>Худший месяц</t>
        </is>
      </c>
      <c r="D19" s="13" t="n">
        <v>-115348.2</v>
      </c>
      <c r="E19" s="15" t="n">
        <v>-115348.2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0.6% против 4.6%. Ключевая нагрузка — Закупочная себестоимость 6,988,282; резерв к медиане — «ФОТ и налоги на персонал» (447,320).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1323634</v>
      </c>
      <c r="E25" s="15" t="n">
        <v>962310</v>
      </c>
      <c r="F25" s="15" t="n">
        <v>361324</v>
      </c>
      <c r="G25" s="16" t="n">
        <v>0</v>
      </c>
      <c r="H25" s="15" t="n">
        <v>94432.67999999999</v>
      </c>
      <c r="I25" s="16" t="n">
        <v>0</v>
      </c>
      <c r="J25" s="15" t="n">
        <v>5000</v>
      </c>
      <c r="K25" s="15" t="n">
        <v>108350</v>
      </c>
      <c r="L25" s="15" t="n">
        <v>2337</v>
      </c>
      <c r="M25" s="15" t="n">
        <v>14000</v>
      </c>
    </row>
    <row r="26">
      <c r="C26" s="13" t="inlineStr">
        <is>
          <t>Февраль</t>
        </is>
      </c>
      <c r="D26" s="15" t="n">
        <v>1450285</v>
      </c>
      <c r="E26" s="15" t="n">
        <v>1064038</v>
      </c>
      <c r="F26" s="15" t="n">
        <v>386247</v>
      </c>
      <c r="G26" s="16" t="n">
        <v>0</v>
      </c>
      <c r="H26" s="15" t="n">
        <v>65241.08000000001</v>
      </c>
      <c r="I26" s="16" t="n">
        <v>0</v>
      </c>
      <c r="J26" s="15" t="n">
        <v>5000</v>
      </c>
      <c r="K26" s="15" t="n">
        <v>159946.68</v>
      </c>
      <c r="L26" s="15" t="n">
        <v>0</v>
      </c>
      <c r="M26" s="15" t="n">
        <v>9294</v>
      </c>
    </row>
    <row r="27">
      <c r="C27" s="13" t="inlineStr">
        <is>
          <t>Март</t>
        </is>
      </c>
      <c r="D27" s="15" t="n">
        <v>1531601</v>
      </c>
      <c r="E27" s="15" t="n">
        <v>1102430</v>
      </c>
      <c r="F27" s="15" t="n">
        <v>429171</v>
      </c>
      <c r="G27" s="16" t="n">
        <v>0</v>
      </c>
      <c r="H27" s="15" t="n">
        <v>98182.96000000001</v>
      </c>
      <c r="I27" s="16" t="n">
        <v>0</v>
      </c>
      <c r="J27" s="15" t="n">
        <v>5000</v>
      </c>
      <c r="K27" s="15" t="n">
        <v>163888.96</v>
      </c>
      <c r="L27" s="15" t="n">
        <v>2938</v>
      </c>
      <c r="M27" s="15" t="n">
        <v>9288</v>
      </c>
    </row>
    <row r="28">
      <c r="C28" s="13" t="inlineStr">
        <is>
          <t>Апрель</t>
        </is>
      </c>
      <c r="D28" s="15" t="n">
        <v>1215545</v>
      </c>
      <c r="E28" s="15" t="n">
        <v>849939</v>
      </c>
      <c r="F28" s="15" t="n">
        <v>365606</v>
      </c>
      <c r="G28" s="16" t="n">
        <v>0</v>
      </c>
      <c r="H28" s="15" t="n">
        <v>38937.73999999999</v>
      </c>
      <c r="I28" s="16" t="n">
        <v>0</v>
      </c>
      <c r="J28" s="15" t="n">
        <v>5000</v>
      </c>
      <c r="K28" s="15" t="n">
        <v>161865</v>
      </c>
      <c r="L28" s="15" t="n">
        <v>5872</v>
      </c>
      <c r="M28" s="15" t="n">
        <v>18000</v>
      </c>
    </row>
    <row r="29">
      <c r="C29" s="13" t="inlineStr">
        <is>
          <t>Май</t>
        </is>
      </c>
      <c r="D29" s="15" t="n">
        <v>1329107</v>
      </c>
      <c r="E29" s="15" t="n">
        <v>990257</v>
      </c>
      <c r="F29" s="15" t="n">
        <v>338850</v>
      </c>
      <c r="G29" s="16" t="n">
        <v>0</v>
      </c>
      <c r="H29" s="15" t="n">
        <v>-93150.05999999998</v>
      </c>
      <c r="I29" s="16" t="n">
        <v>0</v>
      </c>
      <c r="J29" s="15" t="n">
        <v>5000</v>
      </c>
      <c r="K29" s="15" t="n">
        <v>304111.64</v>
      </c>
      <c r="L29" s="15" t="n">
        <v>17256</v>
      </c>
      <c r="M29" s="15" t="n">
        <v>10012</v>
      </c>
    </row>
    <row r="30">
      <c r="C30" s="13" t="inlineStr">
        <is>
          <t>Июнь</t>
        </is>
      </c>
      <c r="D30" s="15" t="n">
        <v>1411425</v>
      </c>
      <c r="E30" s="15" t="n">
        <v>1062717</v>
      </c>
      <c r="F30" s="15" t="n">
        <v>348708</v>
      </c>
      <c r="G30" s="16" t="n">
        <v>0</v>
      </c>
      <c r="H30" s="15" t="n">
        <v>-34021.9</v>
      </c>
      <c r="I30" s="16" t="n">
        <v>0</v>
      </c>
      <c r="J30" s="15" t="n">
        <v>5000</v>
      </c>
      <c r="K30" s="15" t="n">
        <v>254915.74</v>
      </c>
      <c r="L30" s="15" t="n">
        <v>0</v>
      </c>
      <c r="M30" s="15" t="n">
        <v>8000</v>
      </c>
    </row>
    <row r="31">
      <c r="C31" s="13" t="inlineStr">
        <is>
          <t>Июль</t>
        </is>
      </c>
      <c r="D31" s="15" t="n">
        <v>1254825</v>
      </c>
      <c r="E31" s="15" t="n">
        <v>956591</v>
      </c>
      <c r="F31" s="15" t="n">
        <v>298234</v>
      </c>
      <c r="G31" s="16" t="n">
        <v>0</v>
      </c>
      <c r="H31" s="15" t="n">
        <v>-115348.2</v>
      </c>
      <c r="I31" s="16" t="n">
        <v>0</v>
      </c>
      <c r="J31" s="15" t="n">
        <v>5000</v>
      </c>
      <c r="K31" s="15" t="n">
        <v>277787</v>
      </c>
      <c r="L31" s="15" t="n">
        <v>2778</v>
      </c>
      <c r="M31" s="15" t="n">
        <v>18200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&amp;CМ_ЗАО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ЗАП</t>
        </is>
      </c>
    </row>
    <row r="4"/>
    <row r="5" ht="30" customHeight="1">
      <c r="C5" s="2" t="inlineStr">
        <is>
          <t>операционная точка | Данные по листу «ЗАП»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Апрель</t>
        </is>
      </c>
      <c r="E18" s="15" t="n">
        <v>259757.1200000001</v>
      </c>
    </row>
    <row r="19">
      <c r="C19" s="14" t="inlineStr">
        <is>
          <t>Худший месяц</t>
        </is>
      </c>
      <c r="D19" s="13" t="n">
        <v>-57899.01999999998</v>
      </c>
      <c r="E19" s="15" t="n">
        <v>-57899.01999999998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5.7% против 4.6%. Результат поддержан валовой маржой 26.2%; крупнейшая контролируемая статья — Закупочная себестоимость 14,313,269.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2595391</v>
      </c>
      <c r="E25" s="15" t="n">
        <v>1863710</v>
      </c>
      <c r="F25" s="15" t="n">
        <v>731681</v>
      </c>
      <c r="G25" s="16" t="n">
        <v>0</v>
      </c>
      <c r="H25" s="15" t="n">
        <v>229647.66</v>
      </c>
      <c r="I25" s="16" t="n">
        <v>0</v>
      </c>
      <c r="J25" s="15" t="n">
        <v>95600</v>
      </c>
      <c r="K25" s="15" t="n">
        <v>160700</v>
      </c>
      <c r="L25" s="15" t="n">
        <v>18887</v>
      </c>
      <c r="M25" s="15" t="n">
        <v>29000</v>
      </c>
    </row>
    <row r="26">
      <c r="C26" s="13" t="inlineStr">
        <is>
          <t>Февраль</t>
        </is>
      </c>
      <c r="D26" s="15" t="n">
        <v>3043813</v>
      </c>
      <c r="E26" s="15" t="n">
        <v>2234771</v>
      </c>
      <c r="F26" s="15" t="n">
        <v>809042</v>
      </c>
      <c r="G26" s="16" t="n">
        <v>0</v>
      </c>
      <c r="H26" s="15" t="n">
        <v>205969.52</v>
      </c>
      <c r="I26" s="16" t="n">
        <v>0</v>
      </c>
      <c r="J26" s="15" t="n">
        <v>95000</v>
      </c>
      <c r="K26" s="15" t="n">
        <v>247053.88</v>
      </c>
      <c r="L26" s="15" t="n">
        <v>2952</v>
      </c>
      <c r="M26" s="15" t="n">
        <v>29254</v>
      </c>
    </row>
    <row r="27">
      <c r="C27" s="13" t="inlineStr">
        <is>
          <t>Март</t>
        </is>
      </c>
      <c r="D27" s="15" t="n">
        <v>2989642</v>
      </c>
      <c r="E27" s="15" t="n">
        <v>2197071</v>
      </c>
      <c r="F27" s="15" t="n">
        <v>792571</v>
      </c>
      <c r="G27" s="16" t="n">
        <v>0</v>
      </c>
      <c r="H27" s="15" t="n">
        <v>125314.72</v>
      </c>
      <c r="I27" s="16" t="n">
        <v>0</v>
      </c>
      <c r="J27" s="15" t="n">
        <v>95000</v>
      </c>
      <c r="K27" s="15" t="n">
        <v>313067</v>
      </c>
      <c r="L27" s="15" t="n">
        <v>1972</v>
      </c>
      <c r="M27" s="15" t="n">
        <v>31600</v>
      </c>
    </row>
    <row r="28">
      <c r="C28" s="13" t="inlineStr">
        <is>
          <t>Апрель</t>
        </is>
      </c>
      <c r="D28" s="15" t="n">
        <v>3324190</v>
      </c>
      <c r="E28" s="15" t="n">
        <v>2434519</v>
      </c>
      <c r="F28" s="15" t="n">
        <v>889671</v>
      </c>
      <c r="G28" s="16" t="n">
        <v>0</v>
      </c>
      <c r="H28" s="15" t="n">
        <v>259757.1200000001</v>
      </c>
      <c r="I28" s="16" t="n">
        <v>0</v>
      </c>
      <c r="J28" s="15" t="n">
        <v>95000</v>
      </c>
      <c r="K28" s="15" t="n">
        <v>267318.68</v>
      </c>
      <c r="L28" s="15" t="n">
        <v>35650</v>
      </c>
      <c r="M28" s="15" t="n">
        <v>30591</v>
      </c>
    </row>
    <row r="29">
      <c r="C29" s="13" t="inlineStr">
        <is>
          <t>Май</t>
        </is>
      </c>
      <c r="D29" s="15" t="n">
        <v>2639104</v>
      </c>
      <c r="E29" s="15" t="n">
        <v>1972580</v>
      </c>
      <c r="F29" s="15" t="n">
        <v>666524</v>
      </c>
      <c r="G29" s="16" t="n">
        <v>0</v>
      </c>
      <c r="H29" s="15" t="n">
        <v>187514</v>
      </c>
      <c r="I29" s="16" t="n">
        <v>0</v>
      </c>
      <c r="J29" s="15" t="n">
        <v>95000</v>
      </c>
      <c r="K29" s="15" t="n">
        <v>130555.52</v>
      </c>
      <c r="L29" s="15" t="n">
        <v>219236</v>
      </c>
      <c r="M29" s="15" t="n">
        <v>21616</v>
      </c>
    </row>
    <row r="30">
      <c r="C30" s="13" t="inlineStr">
        <is>
          <t>Июнь</t>
        </is>
      </c>
      <c r="D30" s="15" t="n">
        <v>2173424</v>
      </c>
      <c r="E30" s="15" t="n">
        <v>1626399</v>
      </c>
      <c r="F30" s="15" t="n">
        <v>547025</v>
      </c>
      <c r="G30" s="16" t="n">
        <v>0</v>
      </c>
      <c r="H30" s="15" t="n">
        <v>-57899.01999999998</v>
      </c>
      <c r="I30" s="16" t="n">
        <v>0</v>
      </c>
      <c r="J30" s="15" t="n">
        <v>95000</v>
      </c>
      <c r="K30" s="15" t="n">
        <v>281047.54</v>
      </c>
      <c r="L30" s="15" t="n">
        <v>489</v>
      </c>
      <c r="M30" s="15" t="n">
        <v>28557</v>
      </c>
    </row>
    <row r="31">
      <c r="C31" s="13" t="inlineStr">
        <is>
          <t>Июль</t>
        </is>
      </c>
      <c r="D31" s="15" t="n">
        <v>2626740</v>
      </c>
      <c r="E31" s="15" t="n">
        <v>1984219</v>
      </c>
      <c r="F31" s="15" t="n">
        <v>642521</v>
      </c>
      <c r="G31" s="16" t="n">
        <v>0</v>
      </c>
      <c r="H31" s="15" t="n">
        <v>154118.84</v>
      </c>
      <c r="I31" s="16" t="n">
        <v>0</v>
      </c>
      <c r="J31" s="15" t="n">
        <v>95000</v>
      </c>
      <c r="K31" s="15" t="n">
        <v>132129.6</v>
      </c>
      <c r="L31" s="15" t="n">
        <v>3395</v>
      </c>
      <c r="M31" s="15" t="n">
        <v>44280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&amp;CМ_ЗАП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К49</t>
        </is>
      </c>
    </row>
    <row r="4"/>
    <row r="5" ht="30" customHeight="1">
      <c r="C5" s="2" t="inlineStr">
        <is>
          <t>операционная точка | Данные по листу «К49»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223132.2</v>
      </c>
    </row>
    <row r="19">
      <c r="C19" s="14" t="inlineStr">
        <is>
          <t>Худший месяц</t>
        </is>
      </c>
      <c r="D19" s="13" t="n">
        <v>-101393.82</v>
      </c>
      <c r="E19" s="15" t="n">
        <v>-101393.82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3.8% против 4.6%. Ключевая нагрузка — Закупочная себестоимость 11,405,845; резерв к медиане — «Аренда» (244,419).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2368102</v>
      </c>
      <c r="E25" s="15" t="n">
        <v>1731811</v>
      </c>
      <c r="F25" s="15" t="n">
        <v>636291</v>
      </c>
      <c r="G25" s="16" t="n">
        <v>0</v>
      </c>
      <c r="H25" s="15" t="n">
        <v>223132.2</v>
      </c>
      <c r="I25" s="16" t="n">
        <v>0</v>
      </c>
      <c r="J25" s="15" t="n">
        <v>115000</v>
      </c>
      <c r="K25" s="15" t="n">
        <v>110002.2</v>
      </c>
      <c r="L25" s="15" t="n">
        <v>14660</v>
      </c>
      <c r="M25" s="15" t="n">
        <v>21510</v>
      </c>
    </row>
    <row r="26">
      <c r="C26" s="13" t="inlineStr">
        <is>
          <t>Февраль</t>
        </is>
      </c>
      <c r="D26" s="15" t="n">
        <v>2312340</v>
      </c>
      <c r="E26" s="15" t="n">
        <v>1675204</v>
      </c>
      <c r="F26" s="15" t="n">
        <v>637136</v>
      </c>
      <c r="G26" s="16" t="n">
        <v>0</v>
      </c>
      <c r="H26" s="15" t="n">
        <v>170844.28</v>
      </c>
      <c r="I26" s="16" t="n">
        <v>0</v>
      </c>
      <c r="J26" s="15" t="n">
        <v>115000</v>
      </c>
      <c r="K26" s="15" t="n">
        <v>161748.26</v>
      </c>
      <c r="L26" s="15" t="n">
        <v>27704</v>
      </c>
      <c r="M26" s="15" t="n">
        <v>17483</v>
      </c>
    </row>
    <row r="27">
      <c r="C27" s="13" t="inlineStr">
        <is>
          <t>Март</t>
        </is>
      </c>
      <c r="D27" s="15" t="n">
        <v>2516720</v>
      </c>
      <c r="E27" s="15" t="n">
        <v>1841776</v>
      </c>
      <c r="F27" s="15" t="n">
        <v>674944</v>
      </c>
      <c r="G27" s="16" t="n">
        <v>0</v>
      </c>
      <c r="H27" s="15" t="n">
        <v>201738.5</v>
      </c>
      <c r="I27" s="16" t="n">
        <v>0</v>
      </c>
      <c r="J27" s="15" t="n">
        <v>115000</v>
      </c>
      <c r="K27" s="15" t="n">
        <v>165492</v>
      </c>
      <c r="L27" s="15" t="n">
        <v>4758</v>
      </c>
      <c r="M27" s="15" t="n">
        <v>15837</v>
      </c>
    </row>
    <row r="28">
      <c r="C28" s="13" t="inlineStr">
        <is>
          <t>Апрель</t>
        </is>
      </c>
      <c r="D28" s="15" t="n">
        <v>2170416</v>
      </c>
      <c r="E28" s="15" t="n">
        <v>1612606</v>
      </c>
      <c r="F28" s="15" t="n">
        <v>557810</v>
      </c>
      <c r="G28" s="16" t="n">
        <v>0</v>
      </c>
      <c r="H28" s="15" t="n">
        <v>93765.89999999997</v>
      </c>
      <c r="I28" s="16" t="n">
        <v>0</v>
      </c>
      <c r="J28" s="15" t="n">
        <v>115000</v>
      </c>
      <c r="K28" s="15" t="n">
        <v>162718.82</v>
      </c>
      <c r="L28" s="15" t="n">
        <v>17759</v>
      </c>
      <c r="M28" s="15" t="n">
        <v>21881</v>
      </c>
    </row>
    <row r="29">
      <c r="C29" s="13" t="inlineStr">
        <is>
          <t>Май</t>
        </is>
      </c>
      <c r="D29" s="15" t="n">
        <v>2151242</v>
      </c>
      <c r="E29" s="15" t="n">
        <v>1604319</v>
      </c>
      <c r="F29" s="15" t="n">
        <v>546923</v>
      </c>
      <c r="G29" s="16" t="n">
        <v>0</v>
      </c>
      <c r="H29" s="15" t="n">
        <v>83501.64000000003</v>
      </c>
      <c r="I29" s="16" t="n">
        <v>0</v>
      </c>
      <c r="J29" s="15" t="n">
        <v>115000</v>
      </c>
      <c r="K29" s="15" t="n">
        <v>173783.86</v>
      </c>
      <c r="L29" s="15" t="n">
        <v>38329</v>
      </c>
      <c r="M29" s="15" t="n">
        <v>15613</v>
      </c>
    </row>
    <row r="30">
      <c r="C30" s="13" t="inlineStr">
        <is>
          <t>Июнь</t>
        </is>
      </c>
      <c r="D30" s="15" t="n">
        <v>1959103</v>
      </c>
      <c r="E30" s="15" t="n">
        <v>1465208</v>
      </c>
      <c r="F30" s="15" t="n">
        <v>493895</v>
      </c>
      <c r="G30" s="16" t="n">
        <v>0</v>
      </c>
      <c r="H30" s="15" t="n">
        <v>-89502.15999999999</v>
      </c>
      <c r="I30" s="16" t="n">
        <v>0</v>
      </c>
      <c r="J30" s="15" t="n">
        <v>115000</v>
      </c>
      <c r="K30" s="15" t="n">
        <v>301530.52</v>
      </c>
      <c r="L30" s="15" t="n">
        <v>40041</v>
      </c>
      <c r="M30" s="15" t="n">
        <v>15816</v>
      </c>
    </row>
    <row r="31">
      <c r="C31" s="13" t="inlineStr">
        <is>
          <t>Июль</t>
        </is>
      </c>
      <c r="D31" s="15" t="n">
        <v>1961112</v>
      </c>
      <c r="E31" s="15" t="n">
        <v>1474921</v>
      </c>
      <c r="F31" s="15" t="n">
        <v>486191</v>
      </c>
      <c r="G31" s="16" t="n">
        <v>0</v>
      </c>
      <c r="H31" s="15" t="n">
        <v>-101393.82</v>
      </c>
      <c r="I31" s="16" t="n">
        <v>0</v>
      </c>
      <c r="J31" s="15" t="n">
        <v>115000</v>
      </c>
      <c r="K31" s="15" t="n">
        <v>293673</v>
      </c>
      <c r="L31" s="15" t="n">
        <v>6508</v>
      </c>
      <c r="M31" s="15" t="n">
        <v>29000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&amp;CМ_К49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К80</t>
        </is>
      </c>
    </row>
    <row r="4"/>
    <row r="5" ht="30" customHeight="1">
      <c r="C5" s="2" t="inlineStr">
        <is>
          <t>операционная точка | Данные по листу «К80»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131657.86</v>
      </c>
    </row>
    <row r="19">
      <c r="C19" s="14" t="inlineStr">
        <is>
          <t>Худший месяц</t>
        </is>
      </c>
      <c r="D19" s="13" t="n">
        <v>-48798.93999999997</v>
      </c>
      <c r="E19" s="15" t="n">
        <v>-48798.93999999997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2.7% против 4.6%. Ключевая нагрузка — Закупочная себестоимость 7,507,230; резерв к медиане — «Списания» (369,212).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1513626</v>
      </c>
      <c r="E25" s="15" t="n">
        <v>1100581</v>
      </c>
      <c r="F25" s="15" t="n">
        <v>413045</v>
      </c>
      <c r="G25" s="16" t="n">
        <v>0</v>
      </c>
      <c r="H25" s="15" t="n">
        <v>131657.86</v>
      </c>
      <c r="I25" s="16" t="n">
        <v>0</v>
      </c>
      <c r="J25" s="15" t="n">
        <v>65000</v>
      </c>
      <c r="K25" s="15" t="n">
        <v>110033</v>
      </c>
      <c r="L25" s="15" t="n">
        <v>44111</v>
      </c>
      <c r="M25" s="15" t="n">
        <v>14000</v>
      </c>
    </row>
    <row r="26">
      <c r="C26" s="13" t="inlineStr">
        <is>
          <t>Февраль</t>
        </is>
      </c>
      <c r="D26" s="15" t="n">
        <v>1290889</v>
      </c>
      <c r="E26" s="15" t="n">
        <v>926148</v>
      </c>
      <c r="F26" s="15" t="n">
        <v>364741</v>
      </c>
      <c r="G26" s="16" t="n">
        <v>0</v>
      </c>
      <c r="H26" s="15" t="n">
        <v>34092.88</v>
      </c>
      <c r="I26" s="16" t="n">
        <v>0</v>
      </c>
      <c r="J26" s="15" t="n">
        <v>65000</v>
      </c>
      <c r="K26" s="15" t="n">
        <v>166192</v>
      </c>
      <c r="L26" s="15" t="n">
        <v>28136</v>
      </c>
      <c r="M26" s="15" t="n">
        <v>13000</v>
      </c>
    </row>
    <row r="27">
      <c r="C27" s="13" t="inlineStr">
        <is>
          <t>Март</t>
        </is>
      </c>
      <c r="D27" s="15" t="n">
        <v>1666177</v>
      </c>
      <c r="E27" s="15" t="n">
        <v>1214484</v>
      </c>
      <c r="F27" s="15" t="n">
        <v>451693</v>
      </c>
      <c r="G27" s="16" t="n">
        <v>0</v>
      </c>
      <c r="H27" s="15" t="n">
        <v>112892.92</v>
      </c>
      <c r="I27" s="16" t="n">
        <v>0</v>
      </c>
      <c r="J27" s="15" t="n">
        <v>65000</v>
      </c>
      <c r="K27" s="15" t="n">
        <v>156072.96</v>
      </c>
      <c r="L27" s="15" t="n">
        <v>24407</v>
      </c>
      <c r="M27" s="15" t="n">
        <v>14018</v>
      </c>
    </row>
    <row r="28">
      <c r="C28" s="13" t="inlineStr">
        <is>
          <t>Апрель</t>
        </is>
      </c>
      <c r="D28" s="15" t="n">
        <v>1444350</v>
      </c>
      <c r="E28" s="15" t="n">
        <v>1064631</v>
      </c>
      <c r="F28" s="15" t="n">
        <v>379719</v>
      </c>
      <c r="G28" s="16" t="n">
        <v>0</v>
      </c>
      <c r="H28" s="15" t="n">
        <v>41848.34000000001</v>
      </c>
      <c r="I28" s="16" t="n">
        <v>0</v>
      </c>
      <c r="J28" s="15" t="n">
        <v>65000</v>
      </c>
      <c r="K28" s="15" t="n">
        <v>154663.3</v>
      </c>
      <c r="L28" s="15" t="n">
        <v>53267</v>
      </c>
      <c r="M28" s="15" t="n">
        <v>13365</v>
      </c>
    </row>
    <row r="29">
      <c r="C29" s="13" t="inlineStr">
        <is>
          <t>Май</t>
        </is>
      </c>
      <c r="D29" s="15" t="n">
        <v>1368672</v>
      </c>
      <c r="E29" s="15" t="n">
        <v>1029734</v>
      </c>
      <c r="F29" s="15" t="n">
        <v>338938</v>
      </c>
      <c r="G29" s="16" t="n">
        <v>0</v>
      </c>
      <c r="H29" s="15" t="n">
        <v>18976.66000000001</v>
      </c>
      <c r="I29" s="16" t="n">
        <v>0</v>
      </c>
      <c r="J29" s="15" t="n">
        <v>65000</v>
      </c>
      <c r="K29" s="15" t="n">
        <v>143087.6</v>
      </c>
      <c r="L29" s="15" t="n">
        <v>101093</v>
      </c>
      <c r="M29" s="15" t="n">
        <v>8000</v>
      </c>
    </row>
    <row r="30">
      <c r="C30" s="13" t="inlineStr">
        <is>
          <t>Июнь</t>
        </is>
      </c>
      <c r="D30" s="15" t="n">
        <v>1625952</v>
      </c>
      <c r="E30" s="15" t="n">
        <v>1228037</v>
      </c>
      <c r="F30" s="15" t="n">
        <v>397915</v>
      </c>
      <c r="G30" s="16" t="n">
        <v>0</v>
      </c>
      <c r="H30" s="15" t="n">
        <v>-48798.93999999997</v>
      </c>
      <c r="I30" s="16" t="n">
        <v>0</v>
      </c>
      <c r="J30" s="15" t="n">
        <v>65000</v>
      </c>
      <c r="K30" s="15" t="n">
        <v>263582.54</v>
      </c>
      <c r="L30" s="15" t="n">
        <v>192693</v>
      </c>
      <c r="M30" s="15" t="n">
        <v>10384</v>
      </c>
    </row>
    <row r="31">
      <c r="C31" s="13" t="inlineStr">
        <is>
          <t>Июль</t>
        </is>
      </c>
      <c r="D31" s="15" t="n">
        <v>1258680</v>
      </c>
      <c r="E31" s="15" t="n">
        <v>943615</v>
      </c>
      <c r="F31" s="15" t="n">
        <v>315065</v>
      </c>
      <c r="G31" s="16" t="n">
        <v>0</v>
      </c>
      <c r="H31" s="15" t="n">
        <v>-15623.95999999999</v>
      </c>
      <c r="I31" s="16" t="n">
        <v>0</v>
      </c>
      <c r="J31" s="15" t="n">
        <v>65000</v>
      </c>
      <c r="K31" s="15" t="n">
        <v>150694.5</v>
      </c>
      <c r="L31" s="15" t="n">
        <v>45959</v>
      </c>
      <c r="M31" s="15" t="n">
        <v>16311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&amp;CМ_К80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КА1</t>
        </is>
      </c>
    </row>
    <row r="4"/>
    <row r="5" ht="30" customHeight="1">
      <c r="C5" s="2" t="inlineStr">
        <is>
          <t>операционная точка | Данные по листу «КА1»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41099.22</v>
      </c>
    </row>
    <row r="19">
      <c r="C19" s="14" t="inlineStr">
        <is>
          <t>Худший месяц</t>
        </is>
      </c>
      <c r="D19" s="13" t="n">
        <v>-445979.52</v>
      </c>
      <c r="E19" s="15" t="n">
        <v>-445979.52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-6.9%, убыток 474,933. Крупнейшая контролируемая нагрузка — Закупочная себестоимость 4,900,149; наибольший избыток к медиане — «ФОТ и налоги на персонал» (684,167).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1202896</v>
      </c>
      <c r="E25" s="15" t="n">
        <v>837173</v>
      </c>
      <c r="F25" s="15" t="n">
        <v>365723</v>
      </c>
      <c r="G25" s="16" t="n">
        <v>0</v>
      </c>
      <c r="H25" s="15" t="n">
        <v>41099.22</v>
      </c>
      <c r="I25" s="16" t="n">
        <v>0</v>
      </c>
      <c r="J25" s="15" t="n">
        <v>25000</v>
      </c>
      <c r="K25" s="15" t="n">
        <v>128206.72</v>
      </c>
      <c r="L25" s="15" t="n">
        <v>28508</v>
      </c>
      <c r="M25" s="15" t="n">
        <v>29876</v>
      </c>
    </row>
    <row r="26">
      <c r="C26" s="13" t="inlineStr">
        <is>
          <t>Февраль</t>
        </is>
      </c>
      <c r="D26" s="15" t="n">
        <v>1470927</v>
      </c>
      <c r="E26" s="15" t="n">
        <v>1070508</v>
      </c>
      <c r="F26" s="15" t="n">
        <v>400419</v>
      </c>
      <c r="G26" s="16" t="n">
        <v>0</v>
      </c>
      <c r="H26" s="15" t="n">
        <v>22278.28</v>
      </c>
      <c r="I26" s="16" t="n">
        <v>0</v>
      </c>
      <c r="J26" s="15" t="n">
        <v>25000</v>
      </c>
      <c r="K26" s="15" t="n">
        <v>179645.84</v>
      </c>
      <c r="L26" s="15" t="n">
        <v>15251</v>
      </c>
      <c r="M26" s="15" t="n">
        <v>33872</v>
      </c>
    </row>
    <row r="27">
      <c r="C27" s="13" t="inlineStr">
        <is>
          <t>Март</t>
        </is>
      </c>
      <c r="D27" s="15" t="n">
        <v>1427939</v>
      </c>
      <c r="E27" s="15" t="n">
        <v>988967</v>
      </c>
      <c r="F27" s="15" t="n">
        <v>438972</v>
      </c>
      <c r="G27" s="16" t="n">
        <v>0</v>
      </c>
      <c r="H27" s="15" t="n">
        <v>38538.92000000001</v>
      </c>
      <c r="I27" s="16" t="n">
        <v>0</v>
      </c>
      <c r="J27" s="15" t="n">
        <v>25000</v>
      </c>
      <c r="K27" s="15" t="n">
        <v>194591.88</v>
      </c>
      <c r="L27" s="15" t="n">
        <v>5081</v>
      </c>
      <c r="M27" s="15" t="n">
        <v>34154</v>
      </c>
    </row>
    <row r="28">
      <c r="C28" s="13" t="inlineStr">
        <is>
          <t>Апрель</t>
        </is>
      </c>
      <c r="D28" s="15" t="n">
        <v>1242253</v>
      </c>
      <c r="E28" s="15" t="n">
        <v>880089</v>
      </c>
      <c r="F28" s="15" t="n">
        <v>362164</v>
      </c>
      <c r="G28" s="16" t="n">
        <v>0</v>
      </c>
      <c r="H28" s="15" t="n">
        <v>-19437.08</v>
      </c>
      <c r="I28" s="16" t="n">
        <v>0</v>
      </c>
      <c r="J28" s="15" t="n">
        <v>25000</v>
      </c>
      <c r="K28" s="15" t="n">
        <v>197418.8</v>
      </c>
      <c r="L28" s="15" t="n">
        <v>0</v>
      </c>
      <c r="M28" s="15" t="n">
        <v>75840</v>
      </c>
    </row>
    <row r="29">
      <c r="C29" s="13" t="inlineStr">
        <is>
          <t>Май</t>
        </is>
      </c>
      <c r="D29" s="15" t="n">
        <v>1071927</v>
      </c>
      <c r="E29" s="15" t="n">
        <v>789888</v>
      </c>
      <c r="F29" s="15" t="n">
        <v>282039</v>
      </c>
      <c r="G29" s="16" t="n">
        <v>0</v>
      </c>
      <c r="H29" s="15" t="n">
        <v>-111432.74</v>
      </c>
      <c r="I29" s="16" t="n">
        <v>0</v>
      </c>
      <c r="J29" s="15" t="n">
        <v>25000</v>
      </c>
      <c r="K29" s="15" t="n">
        <v>204959</v>
      </c>
      <c r="L29" s="15" t="n">
        <v>19281</v>
      </c>
      <c r="M29" s="15" t="n">
        <v>90700</v>
      </c>
    </row>
    <row r="30">
      <c r="C30" s="13" t="inlineStr">
        <is>
          <t>Июнь</t>
        </is>
      </c>
      <c r="D30" s="15" t="n">
        <v>448649</v>
      </c>
      <c r="E30" s="15" t="n">
        <v>333524</v>
      </c>
      <c r="F30" s="15" t="n">
        <v>115125</v>
      </c>
      <c r="G30" s="16" t="n">
        <v>0</v>
      </c>
      <c r="H30" s="15" t="n">
        <v>-445979.52</v>
      </c>
      <c r="I30" s="16" t="n">
        <v>0</v>
      </c>
      <c r="J30" s="15" t="n">
        <v>0</v>
      </c>
      <c r="K30" s="15" t="n">
        <v>488817.2</v>
      </c>
      <c r="L30" s="15" t="n">
        <v>27112</v>
      </c>
      <c r="M30" s="15" t="n">
        <v>24060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&amp;CМ_КА1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КА2</t>
        </is>
      </c>
    </row>
    <row r="4"/>
    <row r="5" ht="30" customHeight="1">
      <c r="C5" s="2" t="inlineStr">
        <is>
          <t>операционная точка | Данные по листу «КА2»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261227.9</v>
      </c>
    </row>
    <row r="19">
      <c r="C19" s="14" t="inlineStr">
        <is>
          <t>Худший месяц</t>
        </is>
      </c>
      <c r="D19" s="13" t="n">
        <v>33760.67999999998</v>
      </c>
      <c r="E19" s="15" t="n">
        <v>33760.67999999998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9.5% против 4.6%. Результат поддержан валовой маржой 29.6%; крупнейшая контролируемая статья — Закупочная себестоимость 8,739,224.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1794637</v>
      </c>
      <c r="E25" s="15" t="n">
        <v>1262125</v>
      </c>
      <c r="F25" s="15" t="n">
        <v>532512</v>
      </c>
      <c r="G25" s="16" t="n">
        <v>0</v>
      </c>
      <c r="H25" s="15" t="n">
        <v>233065.84</v>
      </c>
      <c r="I25" s="16" t="n">
        <v>0</v>
      </c>
      <c r="J25" s="15" t="n">
        <v>60000</v>
      </c>
      <c r="K25" s="15" t="n">
        <v>109040.8</v>
      </c>
      <c r="L25" s="15" t="n">
        <v>7750</v>
      </c>
      <c r="M25" s="15" t="n">
        <v>17140</v>
      </c>
    </row>
    <row r="26">
      <c r="C26" s="13" t="inlineStr">
        <is>
          <t>Февраль</t>
        </is>
      </c>
      <c r="D26" s="15" t="n">
        <v>1919649</v>
      </c>
      <c r="E26" s="15" t="n">
        <v>1333985</v>
      </c>
      <c r="F26" s="15" t="n">
        <v>585664</v>
      </c>
      <c r="G26" s="16" t="n">
        <v>0</v>
      </c>
      <c r="H26" s="15" t="n">
        <v>233109.3</v>
      </c>
      <c r="I26" s="16" t="n">
        <v>0</v>
      </c>
      <c r="J26" s="15" t="n">
        <v>60000</v>
      </c>
      <c r="K26" s="15" t="n">
        <v>160508.78</v>
      </c>
      <c r="L26" s="15" t="n">
        <v>2624</v>
      </c>
      <c r="M26" s="15" t="n">
        <v>11849</v>
      </c>
    </row>
    <row r="27">
      <c r="C27" s="13" t="inlineStr">
        <is>
          <t>Март</t>
        </is>
      </c>
      <c r="D27" s="15" t="n">
        <v>2057553</v>
      </c>
      <c r="E27" s="15" t="n">
        <v>1433762</v>
      </c>
      <c r="F27" s="15" t="n">
        <v>623791</v>
      </c>
      <c r="G27" s="16" t="n">
        <v>0</v>
      </c>
      <c r="H27" s="15" t="n">
        <v>261227.9</v>
      </c>
      <c r="I27" s="16" t="n">
        <v>0</v>
      </c>
      <c r="J27" s="15" t="n">
        <v>60000</v>
      </c>
      <c r="K27" s="15" t="n">
        <v>164296</v>
      </c>
      <c r="L27" s="15" t="n">
        <v>12824</v>
      </c>
      <c r="M27" s="15" t="n">
        <v>10750</v>
      </c>
    </row>
    <row r="28">
      <c r="C28" s="13" t="inlineStr">
        <is>
          <t>Апрель</t>
        </is>
      </c>
      <c r="D28" s="15" t="n">
        <v>1827185</v>
      </c>
      <c r="E28" s="15" t="n">
        <v>1270436</v>
      </c>
      <c r="F28" s="15" t="n">
        <v>556749</v>
      </c>
      <c r="G28" s="16" t="n">
        <v>0</v>
      </c>
      <c r="H28" s="15" t="n">
        <v>210850.84</v>
      </c>
      <c r="I28" s="16" t="n">
        <v>0</v>
      </c>
      <c r="J28" s="15" t="n">
        <v>60000</v>
      </c>
      <c r="K28" s="15" t="n">
        <v>160321.48</v>
      </c>
      <c r="L28" s="15" t="n">
        <v>0</v>
      </c>
      <c r="M28" s="15" t="n">
        <v>10984</v>
      </c>
    </row>
    <row r="29">
      <c r="C29" s="13" t="inlineStr">
        <is>
          <t>Май</t>
        </is>
      </c>
      <c r="D29" s="15" t="n">
        <v>1660776</v>
      </c>
      <c r="E29" s="15" t="n">
        <v>1162691</v>
      </c>
      <c r="F29" s="15" t="n">
        <v>498085</v>
      </c>
      <c r="G29" s="16" t="n">
        <v>0</v>
      </c>
      <c r="H29" s="15" t="n">
        <v>140405.12</v>
      </c>
      <c r="I29" s="16" t="n">
        <v>0</v>
      </c>
      <c r="J29" s="15" t="n">
        <v>60000</v>
      </c>
      <c r="K29" s="15" t="n">
        <v>164637</v>
      </c>
      <c r="L29" s="15" t="n">
        <v>0</v>
      </c>
      <c r="M29" s="15" t="n">
        <v>30600</v>
      </c>
    </row>
    <row r="30">
      <c r="C30" s="13" t="inlineStr">
        <is>
          <t>Июнь</t>
        </is>
      </c>
      <c r="D30" s="15" t="n">
        <v>1393588</v>
      </c>
      <c r="E30" s="15" t="n">
        <v>1005533</v>
      </c>
      <c r="F30" s="15" t="n">
        <v>388055</v>
      </c>
      <c r="G30" s="16" t="n">
        <v>0</v>
      </c>
      <c r="H30" s="15" t="n">
        <v>67651.64000000001</v>
      </c>
      <c r="I30" s="16" t="n">
        <v>0</v>
      </c>
      <c r="J30" s="15" t="n">
        <v>60000</v>
      </c>
      <c r="K30" s="15" t="n">
        <v>159407.6</v>
      </c>
      <c r="L30" s="15" t="n">
        <v>8695</v>
      </c>
      <c r="M30" s="15" t="n">
        <v>6830</v>
      </c>
    </row>
    <row r="31">
      <c r="C31" s="13" t="inlineStr">
        <is>
          <t>Июль</t>
        </is>
      </c>
      <c r="D31" s="15" t="n">
        <v>1759727</v>
      </c>
      <c r="E31" s="15" t="n">
        <v>1270692</v>
      </c>
      <c r="F31" s="15" t="n">
        <v>489035</v>
      </c>
      <c r="G31" s="16" t="n">
        <v>0</v>
      </c>
      <c r="H31" s="15" t="n">
        <v>33760.67999999998</v>
      </c>
      <c r="I31" s="16" t="n">
        <v>0</v>
      </c>
      <c r="J31" s="15" t="n">
        <v>60000</v>
      </c>
      <c r="K31" s="15" t="n">
        <v>263641.8</v>
      </c>
      <c r="L31" s="15" t="n">
        <v>6275</v>
      </c>
      <c r="M31" s="15" t="n">
        <v>24290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&amp;CМ_КА2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КИР1</t>
        </is>
      </c>
    </row>
    <row r="4"/>
    <row r="5" ht="30" customHeight="1">
      <c r="C5" s="2" t="inlineStr">
        <is>
          <t>операционная точка | Данные по листу «КИР1»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Апрель</t>
        </is>
      </c>
      <c r="E18" s="15" t="n">
        <v>1128969.46</v>
      </c>
    </row>
    <row r="19">
      <c r="C19" s="14" t="inlineStr">
        <is>
          <t>Худший месяц</t>
        </is>
      </c>
      <c r="D19" s="13" t="n">
        <v>194472.4400000001</v>
      </c>
      <c r="E19" s="15" t="n">
        <v>194472.4400000001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10.2% против 4.6%. Результат поддержан валовой маржой 25.8%; крупнейшая контролируемая статья — Закупочная себестоимость 31,435,926.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5833963</v>
      </c>
      <c r="E25" s="15" t="n">
        <v>4235487</v>
      </c>
      <c r="F25" s="15" t="n">
        <v>1598476</v>
      </c>
      <c r="G25" s="16" t="n">
        <v>0</v>
      </c>
      <c r="H25" s="15" t="n">
        <v>688485.7799999999</v>
      </c>
      <c r="I25" s="16" t="n">
        <v>0</v>
      </c>
      <c r="J25" s="15" t="n">
        <v>210000</v>
      </c>
      <c r="K25" s="15" t="n">
        <v>314358</v>
      </c>
      <c r="L25" s="15" t="n">
        <v>11743</v>
      </c>
      <c r="M25" s="15" t="n">
        <v>62500</v>
      </c>
    </row>
    <row r="26">
      <c r="C26" s="13" t="inlineStr">
        <is>
          <t>Февраль</t>
        </is>
      </c>
      <c r="D26" s="15" t="n">
        <v>6406522</v>
      </c>
      <c r="E26" s="15" t="n">
        <v>4740613</v>
      </c>
      <c r="F26" s="15" t="n">
        <v>1665909</v>
      </c>
      <c r="G26" s="16" t="n">
        <v>0</v>
      </c>
      <c r="H26" s="15" t="n">
        <v>655145.5399999998</v>
      </c>
      <c r="I26" s="16" t="n">
        <v>0</v>
      </c>
      <c r="J26" s="15" t="n">
        <v>210000</v>
      </c>
      <c r="K26" s="15" t="n">
        <v>397537</v>
      </c>
      <c r="L26" s="15" t="n">
        <v>1434</v>
      </c>
      <c r="M26" s="15" t="n">
        <v>57000</v>
      </c>
    </row>
    <row r="27">
      <c r="C27" s="13" t="inlineStr">
        <is>
          <t>Март</t>
        </is>
      </c>
      <c r="D27" s="15" t="n">
        <v>8955930</v>
      </c>
      <c r="E27" s="15" t="n">
        <v>6643629</v>
      </c>
      <c r="F27" s="15" t="n">
        <v>2312301</v>
      </c>
      <c r="G27" s="16" t="n">
        <v>0</v>
      </c>
      <c r="H27" s="15" t="n">
        <v>978499.9</v>
      </c>
      <c r="I27" s="16" t="n">
        <v>0</v>
      </c>
      <c r="J27" s="15" t="n">
        <v>210000</v>
      </c>
      <c r="K27" s="15" t="n">
        <v>583241.6</v>
      </c>
      <c r="L27" s="15" t="n">
        <v>15865</v>
      </c>
      <c r="M27" s="15" t="n">
        <v>60580</v>
      </c>
    </row>
    <row r="28">
      <c r="C28" s="13" t="inlineStr">
        <is>
          <t>Апрель</t>
        </is>
      </c>
      <c r="D28" s="15" t="n">
        <v>9931214</v>
      </c>
      <c r="E28" s="15" t="n">
        <v>7427822</v>
      </c>
      <c r="F28" s="15" t="n">
        <v>2503392</v>
      </c>
      <c r="G28" s="16" t="n">
        <v>0</v>
      </c>
      <c r="H28" s="15" t="n">
        <v>1128969.46</v>
      </c>
      <c r="I28" s="16" t="n">
        <v>0</v>
      </c>
      <c r="J28" s="15" t="n">
        <v>210000</v>
      </c>
      <c r="K28" s="15" t="n">
        <v>624863</v>
      </c>
      <c r="L28" s="15" t="n">
        <v>0</v>
      </c>
      <c r="M28" s="15" t="n">
        <v>27950</v>
      </c>
    </row>
    <row r="29">
      <c r="C29" s="13" t="inlineStr">
        <is>
          <t>Май</t>
        </is>
      </c>
      <c r="D29" s="15" t="n">
        <v>4576566</v>
      </c>
      <c r="E29" s="15" t="n">
        <v>3400902</v>
      </c>
      <c r="F29" s="15" t="n">
        <v>1175664</v>
      </c>
      <c r="G29" s="16" t="n">
        <v>0</v>
      </c>
      <c r="H29" s="15" t="n">
        <v>292557.8200000001</v>
      </c>
      <c r="I29" s="16" t="n">
        <v>0</v>
      </c>
      <c r="J29" s="15" t="n">
        <v>210000</v>
      </c>
      <c r="K29" s="15" t="n">
        <v>378398</v>
      </c>
      <c r="L29" s="15" t="n">
        <v>8540</v>
      </c>
      <c r="M29" s="15" t="n">
        <v>66650</v>
      </c>
    </row>
    <row r="30">
      <c r="C30" s="13" t="inlineStr">
        <is>
          <t>Июнь</t>
        </is>
      </c>
      <c r="D30" s="15" t="n">
        <v>2936760</v>
      </c>
      <c r="E30" s="15" t="n">
        <v>2181108</v>
      </c>
      <c r="F30" s="15" t="n">
        <v>755652</v>
      </c>
      <c r="G30" s="16" t="n">
        <v>0</v>
      </c>
      <c r="H30" s="15" t="n">
        <v>194472.4400000001</v>
      </c>
      <c r="I30" s="16" t="n">
        <v>0</v>
      </c>
      <c r="J30" s="15" t="n">
        <v>0</v>
      </c>
      <c r="K30" s="15" t="n">
        <v>355334</v>
      </c>
      <c r="L30" s="15" t="n">
        <v>27110</v>
      </c>
      <c r="M30" s="15" t="n">
        <v>45000</v>
      </c>
    </row>
    <row r="31">
      <c r="C31" s="13" t="inlineStr">
        <is>
          <t>Июль</t>
        </is>
      </c>
      <c r="D31" s="15" t="n">
        <v>3746859</v>
      </c>
      <c r="E31" s="15" t="n">
        <v>2806365</v>
      </c>
      <c r="F31" s="15" t="n">
        <v>940494</v>
      </c>
      <c r="G31" s="16" t="n">
        <v>0</v>
      </c>
      <c r="H31" s="15" t="n">
        <v>391976.7999999999</v>
      </c>
      <c r="I31" s="16" t="n">
        <v>0</v>
      </c>
      <c r="J31" s="15" t="n">
        <v>0</v>
      </c>
      <c r="K31" s="15" t="n">
        <v>324144</v>
      </c>
      <c r="L31" s="15" t="n">
        <v>0</v>
      </c>
      <c r="M31" s="15" t="n">
        <v>48200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&amp;CМ_КИР1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КИР2</t>
        </is>
      </c>
    </row>
    <row r="4"/>
    <row r="5" ht="30" customHeight="1">
      <c r="C5" s="2" t="inlineStr">
        <is>
          <t>операционная точка | Данные по листу «КИР2»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109853.9</v>
      </c>
    </row>
    <row r="19">
      <c r="C19" s="14" t="inlineStr">
        <is>
          <t>Худший месяц</t>
        </is>
      </c>
      <c r="D19" s="13" t="n">
        <v>-167433.98</v>
      </c>
      <c r="E19" s="15" t="n">
        <v>-167433.98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-0.2%, убыток 22,676. Крупнейшая контролируемая нагрузка — Закупочная себестоимость 7,613,441; наибольший избыток к медиане — «ФОТ и налоги на персонал» (253,017).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1438648</v>
      </c>
      <c r="E25" s="15" t="n">
        <v>1026958</v>
      </c>
      <c r="F25" s="15" t="n">
        <v>411690</v>
      </c>
      <c r="G25" s="16" t="n">
        <v>0</v>
      </c>
      <c r="H25" s="15" t="n">
        <v>26298.40000000002</v>
      </c>
      <c r="I25" s="16" t="n">
        <v>0</v>
      </c>
      <c r="J25" s="15" t="n">
        <v>100000</v>
      </c>
      <c r="K25" s="15" t="n">
        <v>136640</v>
      </c>
      <c r="L25" s="15" t="n">
        <v>8312</v>
      </c>
      <c r="M25" s="15" t="n">
        <v>0</v>
      </c>
    </row>
    <row r="26">
      <c r="C26" s="13" t="inlineStr">
        <is>
          <t>Февраль</t>
        </is>
      </c>
      <c r="D26" s="15" t="n">
        <v>1501597</v>
      </c>
      <c r="E26" s="15" t="n">
        <v>1082029</v>
      </c>
      <c r="F26" s="15" t="n">
        <v>419568</v>
      </c>
      <c r="G26" s="16" t="n">
        <v>0</v>
      </c>
      <c r="H26" s="15" t="n">
        <v>39743.22</v>
      </c>
      <c r="I26" s="16" t="n">
        <v>0</v>
      </c>
      <c r="J26" s="15" t="n">
        <v>100000</v>
      </c>
      <c r="K26" s="15" t="n">
        <v>118739</v>
      </c>
      <c r="L26" s="15" t="n">
        <v>2791</v>
      </c>
      <c r="M26" s="15" t="n">
        <v>2450</v>
      </c>
    </row>
    <row r="27">
      <c r="C27" s="13" t="inlineStr">
        <is>
          <t>Март</t>
        </is>
      </c>
      <c r="D27" s="15" t="n">
        <v>2125916</v>
      </c>
      <c r="E27" s="15" t="n">
        <v>1543897</v>
      </c>
      <c r="F27" s="15" t="n">
        <v>582019</v>
      </c>
      <c r="G27" s="16" t="n">
        <v>0</v>
      </c>
      <c r="H27" s="15" t="n">
        <v>109853.9</v>
      </c>
      <c r="I27" s="16" t="n">
        <v>0</v>
      </c>
      <c r="J27" s="15" t="n">
        <v>100000</v>
      </c>
      <c r="K27" s="15" t="n">
        <v>180771.46</v>
      </c>
      <c r="L27" s="15" t="n">
        <v>10923</v>
      </c>
      <c r="M27" s="15" t="n">
        <v>0</v>
      </c>
    </row>
    <row r="28">
      <c r="C28" s="13" t="inlineStr">
        <is>
          <t>Апрель</t>
        </is>
      </c>
      <c r="D28" s="15" t="n">
        <v>1952993</v>
      </c>
      <c r="E28" s="15" t="n">
        <v>1445153</v>
      </c>
      <c r="F28" s="15" t="n">
        <v>507840</v>
      </c>
      <c r="G28" s="16" t="n">
        <v>0</v>
      </c>
      <c r="H28" s="15" t="n">
        <v>-69625.71999999999</v>
      </c>
      <c r="I28" s="16" t="n">
        <v>0</v>
      </c>
      <c r="J28" s="15" t="n">
        <v>100000</v>
      </c>
      <c r="K28" s="15" t="n">
        <v>309072.8</v>
      </c>
      <c r="L28" s="15" t="n">
        <v>5457</v>
      </c>
      <c r="M28" s="15" t="n">
        <v>4500</v>
      </c>
    </row>
    <row r="29">
      <c r="C29" s="13" t="inlineStr">
        <is>
          <t>Май</t>
        </is>
      </c>
      <c r="D29" s="15" t="n">
        <v>1490167</v>
      </c>
      <c r="E29" s="15" t="n">
        <v>1096820</v>
      </c>
      <c r="F29" s="15" t="n">
        <v>393347</v>
      </c>
      <c r="G29" s="16" t="n">
        <v>0</v>
      </c>
      <c r="H29" s="15" t="n">
        <v>47247.70000000001</v>
      </c>
      <c r="I29" s="16" t="n">
        <v>0</v>
      </c>
      <c r="J29" s="15" t="n">
        <v>100000</v>
      </c>
      <c r="K29" s="15" t="n">
        <v>125814</v>
      </c>
      <c r="L29" s="15" t="n">
        <v>22338</v>
      </c>
      <c r="M29" s="15" t="n">
        <v>4500</v>
      </c>
    </row>
    <row r="30">
      <c r="C30" s="13" t="inlineStr">
        <is>
          <t>Июнь</t>
        </is>
      </c>
      <c r="D30" s="15" t="n">
        <v>834399</v>
      </c>
      <c r="E30" s="15" t="n">
        <v>607583</v>
      </c>
      <c r="F30" s="15" t="n">
        <v>226816</v>
      </c>
      <c r="G30" s="16" t="n">
        <v>0</v>
      </c>
      <c r="H30" s="15" t="n">
        <v>-8760</v>
      </c>
      <c r="I30" s="16" t="n">
        <v>0</v>
      </c>
      <c r="J30" s="15" t="n">
        <v>0</v>
      </c>
      <c r="K30" s="15" t="n">
        <v>142692</v>
      </c>
      <c r="L30" s="15" t="n">
        <v>38116</v>
      </c>
      <c r="M30" s="15" t="n">
        <v>2500</v>
      </c>
    </row>
    <row r="31">
      <c r="C31" s="13" t="inlineStr">
        <is>
          <t>Июль</t>
        </is>
      </c>
      <c r="D31" s="15" t="n">
        <v>1084408</v>
      </c>
      <c r="E31" s="15" t="n">
        <v>811001</v>
      </c>
      <c r="F31" s="15" t="n">
        <v>273407</v>
      </c>
      <c r="G31" s="16" t="n">
        <v>0</v>
      </c>
      <c r="H31" s="15" t="n">
        <v>-167433.98</v>
      </c>
      <c r="I31" s="16" t="n">
        <v>0</v>
      </c>
      <c r="J31" s="15" t="n">
        <v>0</v>
      </c>
      <c r="K31" s="15" t="n">
        <v>317060.52</v>
      </c>
      <c r="L31" s="15" t="n">
        <v>37019</v>
      </c>
      <c r="M31" s="15" t="n">
        <v>23500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&amp;CМ_КИР2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КИР3</t>
        </is>
      </c>
    </row>
    <row r="4"/>
    <row r="5" ht="30" customHeight="1">
      <c r="C5" s="2" t="inlineStr">
        <is>
          <t>операционная точка | Данные по листу «КИР3»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Апрель</t>
        </is>
      </c>
      <c r="E18" s="15" t="n">
        <v>453444.76</v>
      </c>
    </row>
    <row r="19">
      <c r="C19" s="14" t="inlineStr">
        <is>
          <t>Худший месяц</t>
        </is>
      </c>
      <c r="D19" s="13" t="n">
        <v>-8966.52</v>
      </c>
      <c r="E19" s="15" t="n">
        <v>-8966.52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8.7% против 4.6%. Результат поддержан валовой маржой 26.1%; крупнейшая контролируемая статья — Закупочная себестоимость 12,583,904.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2450069</v>
      </c>
      <c r="E25" s="15" t="n">
        <v>1769876</v>
      </c>
      <c r="F25" s="15" t="n">
        <v>680193</v>
      </c>
      <c r="G25" s="16" t="n">
        <v>0</v>
      </c>
      <c r="H25" s="15" t="n">
        <v>222171.6</v>
      </c>
      <c r="I25" s="16" t="n">
        <v>0</v>
      </c>
      <c r="J25" s="15" t="n">
        <v>110000</v>
      </c>
      <c r="K25" s="15" t="n">
        <v>127102</v>
      </c>
      <c r="L25" s="15" t="n">
        <v>45345</v>
      </c>
      <c r="M25" s="15" t="n">
        <v>6000</v>
      </c>
    </row>
    <row r="26">
      <c r="C26" s="13" t="inlineStr">
        <is>
          <t>Февраль</t>
        </is>
      </c>
      <c r="D26" s="15" t="n">
        <v>2853185</v>
      </c>
      <c r="E26" s="15" t="n">
        <v>2083144</v>
      </c>
      <c r="F26" s="15" t="n">
        <v>770041</v>
      </c>
      <c r="G26" s="16" t="n">
        <v>0</v>
      </c>
      <c r="H26" s="15" t="n">
        <v>287605.9</v>
      </c>
      <c r="I26" s="16" t="n">
        <v>0</v>
      </c>
      <c r="J26" s="15" t="n">
        <v>110000</v>
      </c>
      <c r="K26" s="15" t="n">
        <v>139180</v>
      </c>
      <c r="L26" s="15" t="n">
        <v>9995</v>
      </c>
      <c r="M26" s="15" t="n">
        <v>6000</v>
      </c>
    </row>
    <row r="27">
      <c r="C27" s="13" t="inlineStr">
        <is>
          <t>Март</t>
        </is>
      </c>
      <c r="D27" s="15" t="n">
        <v>4081895</v>
      </c>
      <c r="E27" s="15" t="n">
        <v>3027847</v>
      </c>
      <c r="F27" s="15" t="n">
        <v>1054048</v>
      </c>
      <c r="G27" s="16" t="n">
        <v>0</v>
      </c>
      <c r="H27" s="15" t="n">
        <v>438688.9199999999</v>
      </c>
      <c r="I27" s="16" t="n">
        <v>0</v>
      </c>
      <c r="J27" s="15" t="n">
        <v>110000</v>
      </c>
      <c r="K27" s="15" t="n">
        <v>220397</v>
      </c>
      <c r="L27" s="15" t="n">
        <v>0</v>
      </c>
      <c r="M27" s="15" t="n">
        <v>6000</v>
      </c>
    </row>
    <row r="28">
      <c r="C28" s="13" t="inlineStr">
        <is>
          <t>Апрель</t>
        </is>
      </c>
      <c r="D28" s="15" t="n">
        <v>4404320</v>
      </c>
      <c r="E28" s="15" t="n">
        <v>3302884</v>
      </c>
      <c r="F28" s="15" t="n">
        <v>1101436</v>
      </c>
      <c r="G28" s="16" t="n">
        <v>0</v>
      </c>
      <c r="H28" s="15" t="n">
        <v>453444.76</v>
      </c>
      <c r="I28" s="16" t="n">
        <v>0</v>
      </c>
      <c r="J28" s="15" t="n">
        <v>110000</v>
      </c>
      <c r="K28" s="15" t="n">
        <v>254557</v>
      </c>
      <c r="L28" s="15" t="n">
        <v>2249</v>
      </c>
      <c r="M28" s="15" t="n">
        <v>6000</v>
      </c>
    </row>
    <row r="29">
      <c r="C29" s="13" t="inlineStr">
        <is>
          <t>Май</t>
        </is>
      </c>
      <c r="D29" s="15" t="n">
        <v>2225843</v>
      </c>
      <c r="E29" s="15" t="n">
        <v>1644741</v>
      </c>
      <c r="F29" s="15" t="n">
        <v>581102</v>
      </c>
      <c r="G29" s="16" t="n">
        <v>0</v>
      </c>
      <c r="H29" s="15" t="n">
        <v>-8966.52</v>
      </c>
      <c r="I29" s="16" t="n">
        <v>0</v>
      </c>
      <c r="J29" s="15" t="n">
        <v>110000</v>
      </c>
      <c r="K29" s="15" t="n">
        <v>319502.02</v>
      </c>
      <c r="L29" s="15" t="n">
        <v>0</v>
      </c>
      <c r="M29" s="15" t="n">
        <v>6841</v>
      </c>
    </row>
    <row r="30">
      <c r="C30" s="13" t="inlineStr">
        <is>
          <t>Июнь</t>
        </is>
      </c>
      <c r="D30" s="15" t="n">
        <v>915154</v>
      </c>
      <c r="E30" s="15" t="n">
        <v>680979</v>
      </c>
      <c r="F30" s="15" t="n">
        <v>234175</v>
      </c>
      <c r="G30" s="16" t="n">
        <v>0</v>
      </c>
      <c r="H30" s="15" t="n">
        <v>71677.42000000001</v>
      </c>
      <c r="I30" s="16" t="n">
        <v>0</v>
      </c>
      <c r="J30" s="15" t="n">
        <v>0</v>
      </c>
      <c r="K30" s="15" t="n">
        <v>93445</v>
      </c>
      <c r="L30" s="15" t="n">
        <v>14680</v>
      </c>
      <c r="M30" s="15" t="n">
        <v>2500</v>
      </c>
    </row>
    <row r="31">
      <c r="C31" s="13" t="inlineStr">
        <is>
          <t>Июль</t>
        </is>
      </c>
      <c r="D31" s="15" t="n">
        <v>98343</v>
      </c>
      <c r="E31" s="15" t="n">
        <v>74433</v>
      </c>
      <c r="F31" s="15" t="n">
        <v>23910</v>
      </c>
      <c r="G31" s="16" t="n">
        <v>0</v>
      </c>
      <c r="H31" s="15" t="n">
        <v>10384.54</v>
      </c>
      <c r="I31" s="16" t="n">
        <v>0</v>
      </c>
      <c r="J31" s="15" t="n">
        <v>0</v>
      </c>
      <c r="K31" s="15" t="n">
        <v>1320</v>
      </c>
      <c r="L31" s="15" t="n">
        <v>0</v>
      </c>
      <c r="M31" s="15" t="n">
        <v>6000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&amp;CМ_КИР3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КНИП</t>
        </is>
      </c>
    </row>
    <row r="4"/>
    <row r="5" ht="30" customHeight="1">
      <c r="C5" s="2" t="inlineStr">
        <is>
          <t>операционная точка | Данные по листу «КНИП»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295223.34</v>
      </c>
    </row>
    <row r="19">
      <c r="C19" s="14" t="inlineStr">
        <is>
          <t>Худший месяц</t>
        </is>
      </c>
      <c r="D19" s="13" t="n">
        <v>-123843.9</v>
      </c>
      <c r="E19" s="15" t="n">
        <v>-123843.9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3.2% против 4.6%. Ключевая нагрузка — Закупочная себестоимость 20,011,784; резерв к медиане — «Аренда» (362,300).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4333901</v>
      </c>
      <c r="E25" s="15" t="n">
        <v>3229877</v>
      </c>
      <c r="F25" s="15" t="n">
        <v>1104024</v>
      </c>
      <c r="G25" s="16" t="n">
        <v>0</v>
      </c>
      <c r="H25" s="15" t="n">
        <v>290930.48</v>
      </c>
      <c r="I25" s="16" t="n">
        <v>0</v>
      </c>
      <c r="J25" s="15" t="n">
        <v>189000</v>
      </c>
      <c r="K25" s="15" t="n">
        <v>258168</v>
      </c>
      <c r="L25" s="15" t="n">
        <v>117776</v>
      </c>
      <c r="M25" s="15" t="n">
        <v>29650</v>
      </c>
    </row>
    <row r="26">
      <c r="C26" s="13" t="inlineStr">
        <is>
          <t>Февраль</t>
        </is>
      </c>
      <c r="D26" s="15" t="n">
        <v>4130391</v>
      </c>
      <c r="E26" s="15" t="n">
        <v>3070921</v>
      </c>
      <c r="F26" s="15" t="n">
        <v>1059470</v>
      </c>
      <c r="G26" s="16" t="n">
        <v>0</v>
      </c>
      <c r="H26" s="15" t="n">
        <v>295223.34</v>
      </c>
      <c r="I26" s="16" t="n">
        <v>0</v>
      </c>
      <c r="J26" s="15" t="n">
        <v>189000</v>
      </c>
      <c r="K26" s="15" t="n">
        <v>273914.62</v>
      </c>
      <c r="L26" s="15" t="n">
        <v>20036</v>
      </c>
      <c r="M26" s="15" t="n">
        <v>23521</v>
      </c>
    </row>
    <row r="27">
      <c r="C27" s="13" t="inlineStr">
        <is>
          <t>Март</t>
        </is>
      </c>
      <c r="D27" s="15" t="n">
        <v>4002175</v>
      </c>
      <c r="E27" s="15" t="n">
        <v>2999214</v>
      </c>
      <c r="F27" s="15" t="n">
        <v>1002961</v>
      </c>
      <c r="G27" s="16" t="n">
        <v>0</v>
      </c>
      <c r="H27" s="15" t="n">
        <v>211841.3799999999</v>
      </c>
      <c r="I27" s="16" t="n">
        <v>0</v>
      </c>
      <c r="J27" s="15" t="n">
        <v>189000</v>
      </c>
      <c r="K27" s="15" t="n">
        <v>307324</v>
      </c>
      <c r="L27" s="15" t="n">
        <v>64221</v>
      </c>
      <c r="M27" s="15" t="n">
        <v>19000</v>
      </c>
    </row>
    <row r="28">
      <c r="C28" s="13" t="inlineStr">
        <is>
          <t>Апрель</t>
        </is>
      </c>
      <c r="D28" s="15" t="n">
        <v>3197193</v>
      </c>
      <c r="E28" s="15" t="n">
        <v>2427362</v>
      </c>
      <c r="F28" s="15" t="n">
        <v>769831</v>
      </c>
      <c r="G28" s="16" t="n">
        <v>0</v>
      </c>
      <c r="H28" s="15" t="n">
        <v>-45753.91999999996</v>
      </c>
      <c r="I28" s="16" t="n">
        <v>0</v>
      </c>
      <c r="J28" s="15" t="n">
        <v>189000</v>
      </c>
      <c r="K28" s="15" t="n">
        <v>312558.9</v>
      </c>
      <c r="L28" s="15" t="n">
        <v>101359</v>
      </c>
      <c r="M28" s="15" t="n">
        <v>26945</v>
      </c>
    </row>
    <row r="29">
      <c r="C29" s="13" t="inlineStr">
        <is>
          <t>Май</t>
        </is>
      </c>
      <c r="D29" s="15" t="n">
        <v>3845079</v>
      </c>
      <c r="E29" s="15" t="n">
        <v>2921830</v>
      </c>
      <c r="F29" s="15" t="n">
        <v>923249</v>
      </c>
      <c r="G29" s="16" t="n">
        <v>0</v>
      </c>
      <c r="H29" s="15" t="n">
        <v>126023.26</v>
      </c>
      <c r="I29" s="16" t="n">
        <v>0</v>
      </c>
      <c r="J29" s="15" t="n">
        <v>189000</v>
      </c>
      <c r="K29" s="15" t="n">
        <v>343553.84</v>
      </c>
      <c r="L29" s="15" t="n">
        <v>92387</v>
      </c>
      <c r="M29" s="15" t="n">
        <v>28072</v>
      </c>
    </row>
    <row r="30">
      <c r="C30" s="13" t="inlineStr">
        <is>
          <t>Июнь</t>
        </is>
      </c>
      <c r="D30" s="15" t="n">
        <v>3495296</v>
      </c>
      <c r="E30" s="15" t="n">
        <v>2682825</v>
      </c>
      <c r="F30" s="15" t="n">
        <v>812471</v>
      </c>
      <c r="G30" s="16" t="n">
        <v>0</v>
      </c>
      <c r="H30" s="15" t="n">
        <v>-123843.9</v>
      </c>
      <c r="I30" s="16" t="n">
        <v>0</v>
      </c>
      <c r="J30" s="15" t="n">
        <v>189000</v>
      </c>
      <c r="K30" s="15" t="n">
        <v>443312.32</v>
      </c>
      <c r="L30" s="15" t="n">
        <v>169028</v>
      </c>
      <c r="M30" s="15" t="n">
        <v>27506</v>
      </c>
    </row>
    <row r="31">
      <c r="C31" s="13" t="inlineStr">
        <is>
          <t>Июль</t>
        </is>
      </c>
      <c r="D31" s="15" t="n">
        <v>3454711</v>
      </c>
      <c r="E31" s="15" t="n">
        <v>2679755</v>
      </c>
      <c r="F31" s="15" t="n">
        <v>774956</v>
      </c>
      <c r="G31" s="16" t="n">
        <v>0</v>
      </c>
      <c r="H31" s="15" t="n">
        <v>99119.60000000003</v>
      </c>
      <c r="I31" s="16" t="n">
        <v>0</v>
      </c>
      <c r="J31" s="15" t="n">
        <v>189000</v>
      </c>
      <c r="K31" s="15" t="n">
        <v>199686.38</v>
      </c>
      <c r="L31" s="15" t="n">
        <v>55375</v>
      </c>
      <c r="M31" s="15" t="n">
        <v>43529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&amp;CМ_КНИП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КОВ</t>
        </is>
      </c>
    </row>
    <row r="4"/>
    <row r="5" ht="30" customHeight="1">
      <c r="C5" s="2" t="inlineStr">
        <is>
          <t>операционная точка | Данные по листу «КОВ»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380956.5</v>
      </c>
    </row>
    <row r="19">
      <c r="C19" s="14" t="inlineStr">
        <is>
          <t>Худший месяц</t>
        </is>
      </c>
      <c r="D19" s="13" t="n">
        <v>-49021.69999999998</v>
      </c>
      <c r="E19" s="15" t="n">
        <v>-49021.69999999998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5.5% против 4.6%. Результат поддержан валовой маржой 28.1%; крупнейшая контролируемая статья — Закупочная себестоимость 17,169,724.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3388482</v>
      </c>
      <c r="E25" s="15" t="n">
        <v>2426012</v>
      </c>
      <c r="F25" s="15" t="n">
        <v>962470</v>
      </c>
      <c r="G25" s="16" t="n">
        <v>0</v>
      </c>
      <c r="H25" s="15" t="n">
        <v>260862.0399999999</v>
      </c>
      <c r="I25" s="16" t="n">
        <v>0</v>
      </c>
      <c r="J25" s="15" t="n">
        <v>195000</v>
      </c>
      <c r="K25" s="15" t="n">
        <v>205320</v>
      </c>
      <c r="L25" s="15" t="n">
        <v>10451</v>
      </c>
      <c r="M25" s="15" t="n">
        <v>25000</v>
      </c>
    </row>
    <row r="26">
      <c r="C26" s="13" t="inlineStr">
        <is>
          <t>Февраль</t>
        </is>
      </c>
      <c r="D26" s="15" t="n">
        <v>3646628</v>
      </c>
      <c r="E26" s="15" t="n">
        <v>2566625</v>
      </c>
      <c r="F26" s="15" t="n">
        <v>1080003</v>
      </c>
      <c r="G26" s="16" t="n">
        <v>0</v>
      </c>
      <c r="H26" s="15" t="n">
        <v>300930.64</v>
      </c>
      <c r="I26" s="16" t="n">
        <v>0</v>
      </c>
      <c r="J26" s="15" t="n">
        <v>195000</v>
      </c>
      <c r="K26" s="15" t="n">
        <v>239276.46</v>
      </c>
      <c r="L26" s="15" t="n">
        <v>0</v>
      </c>
      <c r="M26" s="15" t="n">
        <v>23293</v>
      </c>
    </row>
    <row r="27">
      <c r="C27" s="13" t="inlineStr">
        <is>
          <t>Март</t>
        </is>
      </c>
      <c r="D27" s="15" t="n">
        <v>4209451</v>
      </c>
      <c r="E27" s="15" t="n">
        <v>3006042</v>
      </c>
      <c r="F27" s="15" t="n">
        <v>1203409</v>
      </c>
      <c r="G27" s="16" t="n">
        <v>0</v>
      </c>
      <c r="H27" s="15" t="n">
        <v>380956.5</v>
      </c>
      <c r="I27" s="16" t="n">
        <v>0</v>
      </c>
      <c r="J27" s="15" t="n">
        <v>195000</v>
      </c>
      <c r="K27" s="15" t="n">
        <v>270473.64</v>
      </c>
      <c r="L27" s="15" t="n">
        <v>0</v>
      </c>
      <c r="M27" s="15" t="n">
        <v>14570</v>
      </c>
    </row>
    <row r="28">
      <c r="C28" s="13" t="inlineStr">
        <is>
          <t>Апрель</t>
        </is>
      </c>
      <c r="D28" s="15" t="n">
        <v>3862426</v>
      </c>
      <c r="E28" s="15" t="n">
        <v>2794976</v>
      </c>
      <c r="F28" s="15" t="n">
        <v>1067450</v>
      </c>
      <c r="G28" s="16" t="n">
        <v>0</v>
      </c>
      <c r="H28" s="15" t="n">
        <v>320949.08</v>
      </c>
      <c r="I28" s="16" t="n">
        <v>0</v>
      </c>
      <c r="J28" s="15" t="n">
        <v>195000</v>
      </c>
      <c r="K28" s="15" t="n">
        <v>229548.52</v>
      </c>
      <c r="L28" s="15" t="n">
        <v>0</v>
      </c>
      <c r="M28" s="15" t="n">
        <v>20303</v>
      </c>
    </row>
    <row r="29">
      <c r="C29" s="13" t="inlineStr">
        <is>
          <t>Май</t>
        </is>
      </c>
      <c r="D29" s="15" t="n">
        <v>3145203</v>
      </c>
      <c r="E29" s="15" t="n">
        <v>2282672</v>
      </c>
      <c r="F29" s="15" t="n">
        <v>862531</v>
      </c>
      <c r="G29" s="16" t="n">
        <v>0</v>
      </c>
      <c r="H29" s="15" t="n">
        <v>60076.78000000005</v>
      </c>
      <c r="I29" s="16" t="n">
        <v>0</v>
      </c>
      <c r="J29" s="15" t="n">
        <v>195000</v>
      </c>
      <c r="K29" s="15" t="n">
        <v>246091.46</v>
      </c>
      <c r="L29" s="15" t="n">
        <v>490</v>
      </c>
      <c r="M29" s="15" t="n">
        <v>104810</v>
      </c>
    </row>
    <row r="30">
      <c r="C30" s="13" t="inlineStr">
        <is>
          <t>Июнь</t>
        </is>
      </c>
      <c r="D30" s="15" t="n">
        <v>2807000</v>
      </c>
      <c r="E30" s="15" t="n">
        <v>2046109</v>
      </c>
      <c r="F30" s="15" t="n">
        <v>760891</v>
      </c>
      <c r="G30" s="16" t="n">
        <v>0</v>
      </c>
      <c r="H30" s="15" t="n">
        <v>41609.66</v>
      </c>
      <c r="I30" s="16" t="n">
        <v>0</v>
      </c>
      <c r="J30" s="15" t="n">
        <v>195000</v>
      </c>
      <c r="K30" s="15" t="n">
        <v>257010.96</v>
      </c>
      <c r="L30" s="15" t="n">
        <v>11895</v>
      </c>
      <c r="M30" s="15" t="n">
        <v>32554</v>
      </c>
    </row>
    <row r="31">
      <c r="C31" s="13" t="inlineStr">
        <is>
          <t>Июль</t>
        </is>
      </c>
      <c r="D31" s="15" t="n">
        <v>2818156</v>
      </c>
      <c r="E31" s="15" t="n">
        <v>2047288</v>
      </c>
      <c r="F31" s="15" t="n">
        <v>770868</v>
      </c>
      <c r="G31" s="16" t="n">
        <v>0</v>
      </c>
      <c r="H31" s="15" t="n">
        <v>-49021.69999999998</v>
      </c>
      <c r="I31" s="16" t="n">
        <v>0</v>
      </c>
      <c r="J31" s="15" t="n">
        <v>195000</v>
      </c>
      <c r="K31" s="15" t="n">
        <v>342317.1</v>
      </c>
      <c r="L31" s="15" t="n">
        <v>0</v>
      </c>
      <c r="M31" s="15" t="n">
        <v>30039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&amp;CМ_КОВ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Л76</t>
        </is>
      </c>
    </row>
    <row r="4"/>
    <row r="5" ht="30" customHeight="1">
      <c r="C5" s="2" t="inlineStr">
        <is>
          <t>операционная точка | Данные по листу «Л76»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149691.12</v>
      </c>
    </row>
    <row r="19">
      <c r="C19" s="14" t="inlineStr">
        <is>
          <t>Худший месяц</t>
        </is>
      </c>
      <c r="D19" s="13" t="n">
        <v>-28538.92000000001</v>
      </c>
      <c r="E19" s="15" t="n">
        <v>-28538.92000000001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3.6% против 4.6%. Ключевая нагрузка — Закупочная себестоимость 8,257,721; резерв к медиане — «Списания» (92,471).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1630648</v>
      </c>
      <c r="E25" s="15" t="n">
        <v>1177050</v>
      </c>
      <c r="F25" s="15" t="n">
        <v>453598</v>
      </c>
      <c r="G25" s="16" t="n">
        <v>0</v>
      </c>
      <c r="H25" s="15" t="n">
        <v>149691.12</v>
      </c>
      <c r="I25" s="16" t="n">
        <v>0</v>
      </c>
      <c r="J25" s="15" t="n">
        <v>50000</v>
      </c>
      <c r="K25" s="15" t="n">
        <v>113697.56</v>
      </c>
      <c r="L25" s="15" t="n">
        <v>4907</v>
      </c>
      <c r="M25" s="15" t="n">
        <v>14148</v>
      </c>
    </row>
    <row r="26">
      <c r="C26" s="13" t="inlineStr">
        <is>
          <t>Февраль</t>
        </is>
      </c>
      <c r="D26" s="15" t="n">
        <v>1251958</v>
      </c>
      <c r="E26" s="15" t="n">
        <v>961336</v>
      </c>
      <c r="F26" s="15" t="n">
        <v>290622</v>
      </c>
      <c r="G26" s="16" t="n">
        <v>0</v>
      </c>
      <c r="H26" s="15" t="n">
        <v>-9626.740000000011</v>
      </c>
      <c r="I26" s="16" t="n">
        <v>0</v>
      </c>
      <c r="J26" s="15" t="n">
        <v>50000</v>
      </c>
      <c r="K26" s="15" t="n">
        <v>140410.26</v>
      </c>
      <c r="L26" s="15" t="n">
        <v>27425</v>
      </c>
      <c r="M26" s="15" t="n">
        <v>7633</v>
      </c>
    </row>
    <row r="27">
      <c r="C27" s="13" t="inlineStr">
        <is>
          <t>Март</t>
        </is>
      </c>
      <c r="D27" s="15" t="n">
        <v>1980596</v>
      </c>
      <c r="E27" s="15" t="n">
        <v>1501568</v>
      </c>
      <c r="F27" s="15" t="n">
        <v>479028</v>
      </c>
      <c r="G27" s="16" t="n">
        <v>0</v>
      </c>
      <c r="H27" s="15" t="n">
        <v>136391.28</v>
      </c>
      <c r="I27" s="16" t="n">
        <v>0</v>
      </c>
      <c r="J27" s="15" t="n">
        <v>50000</v>
      </c>
      <c r="K27" s="15" t="n">
        <v>148863.04</v>
      </c>
      <c r="L27" s="15" t="n">
        <v>15071</v>
      </c>
      <c r="M27" s="15" t="n">
        <v>7232</v>
      </c>
    </row>
    <row r="28">
      <c r="C28" s="13" t="inlineStr">
        <is>
          <t>Апрель</t>
        </is>
      </c>
      <c r="D28" s="15" t="n">
        <v>1450814</v>
      </c>
      <c r="E28" s="15" t="n">
        <v>1095043</v>
      </c>
      <c r="F28" s="15" t="n">
        <v>355771</v>
      </c>
      <c r="G28" s="16" t="n">
        <v>0</v>
      </c>
      <c r="H28" s="15" t="n">
        <v>25037.74</v>
      </c>
      <c r="I28" s="16" t="n">
        <v>0</v>
      </c>
      <c r="J28" s="15" t="n">
        <v>50000</v>
      </c>
      <c r="K28" s="15" t="n">
        <v>152603.48</v>
      </c>
      <c r="L28" s="15" t="n">
        <v>7313</v>
      </c>
      <c r="M28" s="15" t="n">
        <v>14901</v>
      </c>
    </row>
    <row r="29">
      <c r="C29" s="13" t="inlineStr">
        <is>
          <t>Май</t>
        </is>
      </c>
      <c r="D29" s="15" t="n">
        <v>1268401</v>
      </c>
      <c r="E29" s="15" t="n">
        <v>995419</v>
      </c>
      <c r="F29" s="15" t="n">
        <v>272982</v>
      </c>
      <c r="G29" s="16" t="n">
        <v>0</v>
      </c>
      <c r="H29" s="15" t="n">
        <v>-28538.92000000001</v>
      </c>
      <c r="I29" s="16" t="n">
        <v>0</v>
      </c>
      <c r="J29" s="15" t="n">
        <v>50000</v>
      </c>
      <c r="K29" s="15" t="n">
        <v>146550.82</v>
      </c>
      <c r="L29" s="15" t="n">
        <v>73646</v>
      </c>
      <c r="M29" s="15" t="n">
        <v>10031</v>
      </c>
    </row>
    <row r="30">
      <c r="C30" s="13" t="inlineStr">
        <is>
          <t>Июнь</t>
        </is>
      </c>
      <c r="D30" s="15" t="n">
        <v>1590114</v>
      </c>
      <c r="E30" s="15" t="n">
        <v>1202800</v>
      </c>
      <c r="F30" s="15" t="n">
        <v>387314</v>
      </c>
      <c r="G30" s="16" t="n">
        <v>0</v>
      </c>
      <c r="H30" s="15" t="n">
        <v>59218.60000000001</v>
      </c>
      <c r="I30" s="16" t="n">
        <v>0</v>
      </c>
      <c r="J30" s="15" t="n">
        <v>50000</v>
      </c>
      <c r="K30" s="15" t="n">
        <v>146664.84</v>
      </c>
      <c r="L30" s="15" t="n">
        <v>55979</v>
      </c>
      <c r="M30" s="15" t="n">
        <v>10089</v>
      </c>
    </row>
    <row r="31">
      <c r="C31" s="13" t="inlineStr">
        <is>
          <t>Июль</t>
        </is>
      </c>
      <c r="D31" s="15" t="n">
        <v>1734444</v>
      </c>
      <c r="E31" s="15" t="n">
        <v>1324505</v>
      </c>
      <c r="F31" s="15" t="n">
        <v>409939</v>
      </c>
      <c r="G31" s="16" t="n">
        <v>0</v>
      </c>
      <c r="H31" s="15" t="n">
        <v>59703.54000000002</v>
      </c>
      <c r="I31" s="16" t="n">
        <v>0</v>
      </c>
      <c r="J31" s="15" t="n">
        <v>50000</v>
      </c>
      <c r="K31" s="15" t="n">
        <v>153989.04</v>
      </c>
      <c r="L31" s="15" t="n">
        <v>37334</v>
      </c>
      <c r="M31" s="15" t="n">
        <v>21199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&amp;CМ_Л76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МАК</t>
        </is>
      </c>
    </row>
    <row r="4"/>
    <row r="5" ht="30" customHeight="1">
      <c r="C5" s="2" t="inlineStr">
        <is>
          <t>операционная точка | Данные по листу «МАК»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55145.52000000002</v>
      </c>
    </row>
    <row r="19">
      <c r="C19" s="14" t="inlineStr">
        <is>
          <t>Худший месяц</t>
        </is>
      </c>
      <c r="D19" s="13" t="n">
        <v>-227662.82</v>
      </c>
      <c r="E19" s="15" t="n">
        <v>-227662.82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-4.8%, убыток 341,105. Крупнейшая контролируемая нагрузка — Закупочная себестоимость 5,183,017; наибольший избыток к медиане — «ФОТ и налоги на персонал» (391,249).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865891</v>
      </c>
      <c r="E25" s="15" t="n">
        <v>610675</v>
      </c>
      <c r="F25" s="15" t="n">
        <v>255216</v>
      </c>
      <c r="G25" s="16" t="n">
        <v>0</v>
      </c>
      <c r="H25" s="15" t="n">
        <v>-12805.24</v>
      </c>
      <c r="I25" s="16" t="n">
        <v>0</v>
      </c>
      <c r="J25" s="15" t="n">
        <v>75000</v>
      </c>
      <c r="K25" s="15" t="n">
        <v>113898</v>
      </c>
      <c r="L25" s="15" t="n">
        <v>6250</v>
      </c>
      <c r="M25" s="15" t="n">
        <v>21000</v>
      </c>
    </row>
    <row r="26">
      <c r="C26" s="13" t="inlineStr">
        <is>
          <t>Февраль</t>
        </is>
      </c>
      <c r="D26" s="15" t="n">
        <v>1210892</v>
      </c>
      <c r="E26" s="15" t="n">
        <v>879256</v>
      </c>
      <c r="F26" s="15" t="n">
        <v>331636</v>
      </c>
      <c r="G26" s="16" t="n">
        <v>0</v>
      </c>
      <c r="H26" s="15" t="n">
        <v>8332.479999999981</v>
      </c>
      <c r="I26" s="16" t="n">
        <v>0</v>
      </c>
      <c r="J26" s="15" t="n">
        <v>75000</v>
      </c>
      <c r="K26" s="15" t="n">
        <v>142397</v>
      </c>
      <c r="L26" s="15" t="n">
        <v>17517</v>
      </c>
      <c r="M26" s="15" t="n">
        <v>15000</v>
      </c>
    </row>
    <row r="27">
      <c r="C27" s="13" t="inlineStr">
        <is>
          <t>Март</t>
        </is>
      </c>
      <c r="D27" s="15" t="n">
        <v>1336634</v>
      </c>
      <c r="E27" s="15" t="n">
        <v>955863</v>
      </c>
      <c r="F27" s="15" t="n">
        <v>380771</v>
      </c>
      <c r="G27" s="16" t="n">
        <v>0</v>
      </c>
      <c r="H27" s="15" t="n">
        <v>55145.52000000002</v>
      </c>
      <c r="I27" s="16" t="n">
        <v>0</v>
      </c>
      <c r="J27" s="15" t="n">
        <v>75000</v>
      </c>
      <c r="K27" s="15" t="n">
        <v>151239.78</v>
      </c>
      <c r="L27" s="15" t="n">
        <v>0</v>
      </c>
      <c r="M27" s="15" t="n">
        <v>18784</v>
      </c>
    </row>
    <row r="28">
      <c r="C28" s="13" t="inlineStr">
        <is>
          <t>Апрель</t>
        </is>
      </c>
      <c r="D28" s="15" t="n">
        <v>1015531</v>
      </c>
      <c r="E28" s="15" t="n">
        <v>733819</v>
      </c>
      <c r="F28" s="15" t="n">
        <v>281712</v>
      </c>
      <c r="G28" s="16" t="n">
        <v>0</v>
      </c>
      <c r="H28" s="15" t="n">
        <v>-28539.82</v>
      </c>
      <c r="I28" s="16" t="n">
        <v>0</v>
      </c>
      <c r="J28" s="15" t="n">
        <v>75000</v>
      </c>
      <c r="K28" s="15" t="n">
        <v>147853.1</v>
      </c>
      <c r="L28" s="15" t="n">
        <v>455</v>
      </c>
      <c r="M28" s="15" t="n">
        <v>22055</v>
      </c>
    </row>
    <row r="29">
      <c r="C29" s="13" t="inlineStr">
        <is>
          <t>Май</t>
        </is>
      </c>
      <c r="D29" s="15" t="n">
        <v>1048582</v>
      </c>
      <c r="E29" s="15" t="n">
        <v>777026</v>
      </c>
      <c r="F29" s="15" t="n">
        <v>271556</v>
      </c>
      <c r="G29" s="16" t="n">
        <v>0</v>
      </c>
      <c r="H29" s="15" t="n">
        <v>-34040.12</v>
      </c>
      <c r="I29" s="16" t="n">
        <v>0</v>
      </c>
      <c r="J29" s="15" t="n">
        <v>75000</v>
      </c>
      <c r="K29" s="15" t="n">
        <v>150647.9</v>
      </c>
      <c r="L29" s="15" t="n">
        <v>1959</v>
      </c>
      <c r="M29" s="15" t="n">
        <v>15345</v>
      </c>
    </row>
    <row r="30">
      <c r="C30" s="13" t="inlineStr">
        <is>
          <t>Июнь</t>
        </is>
      </c>
      <c r="D30" s="15" t="n">
        <v>793921</v>
      </c>
      <c r="E30" s="15" t="n">
        <v>600565</v>
      </c>
      <c r="F30" s="15" t="n">
        <v>193356</v>
      </c>
      <c r="G30" s="16" t="n">
        <v>0</v>
      </c>
      <c r="H30" s="15" t="n">
        <v>-101535</v>
      </c>
      <c r="I30" s="16" t="n">
        <v>0</v>
      </c>
      <c r="J30" s="15" t="n">
        <v>75000</v>
      </c>
      <c r="K30" s="15" t="n">
        <v>151254.18</v>
      </c>
      <c r="L30" s="15" t="n">
        <v>0</v>
      </c>
      <c r="M30" s="15" t="n">
        <v>18855</v>
      </c>
    </row>
    <row r="31">
      <c r="C31" s="13" t="inlineStr">
        <is>
          <t>Июль</t>
        </is>
      </c>
      <c r="D31" s="15" t="n">
        <v>826829</v>
      </c>
      <c r="E31" s="15" t="n">
        <v>625813</v>
      </c>
      <c r="F31" s="15" t="n">
        <v>201016</v>
      </c>
      <c r="G31" s="16" t="n">
        <v>0</v>
      </c>
      <c r="H31" s="15" t="n">
        <v>-227662.82</v>
      </c>
      <c r="I31" s="16" t="n">
        <v>0</v>
      </c>
      <c r="J31" s="15" t="n">
        <v>75000</v>
      </c>
      <c r="K31" s="15" t="n">
        <v>267583.76</v>
      </c>
      <c r="L31" s="15" t="n">
        <v>3928</v>
      </c>
      <c r="M31" s="15" t="n">
        <v>31893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&amp;CМ_МАК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МИРА</t>
        </is>
      </c>
    </row>
    <row r="4"/>
    <row r="5" ht="30" customHeight="1">
      <c r="C5" s="2" t="inlineStr">
        <is>
          <t>операционная точка | Данные по листу «МИРА»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58030.98000000001</v>
      </c>
    </row>
    <row r="19">
      <c r="C19" s="14" t="inlineStr">
        <is>
          <t>Худший месяц</t>
        </is>
      </c>
      <c r="D19" s="13" t="n">
        <v>-182622.98</v>
      </c>
      <c r="E19" s="15" t="n">
        <v>-182622.98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-2.9%, убыток 221,263. Крупнейшая контролируемая нагрузка — Закупочная себестоимость 5,560,466; наибольший избыток к медиане — «ФОТ и налоги на персонал» (398,567).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1113018</v>
      </c>
      <c r="E25" s="15" t="n">
        <v>794523</v>
      </c>
      <c r="F25" s="15" t="n">
        <v>318495</v>
      </c>
      <c r="G25" s="16" t="n">
        <v>0</v>
      </c>
      <c r="H25" s="15" t="n">
        <v>38693.35999999999</v>
      </c>
      <c r="I25" s="16" t="n">
        <v>0</v>
      </c>
      <c r="J25" s="15" t="n">
        <v>67000</v>
      </c>
      <c r="K25" s="15" t="n">
        <v>110320.32</v>
      </c>
      <c r="L25" s="15" t="n">
        <v>11988</v>
      </c>
      <c r="M25" s="15" t="n">
        <v>22956</v>
      </c>
    </row>
    <row r="26">
      <c r="C26" s="13" t="inlineStr">
        <is>
          <t>Февраль</t>
        </is>
      </c>
      <c r="D26" s="15" t="n">
        <v>1061288</v>
      </c>
      <c r="E26" s="15" t="n">
        <v>753718</v>
      </c>
      <c r="F26" s="15" t="n">
        <v>307570</v>
      </c>
      <c r="G26" s="16" t="n">
        <v>0</v>
      </c>
      <c r="H26" s="15" t="n">
        <v>18291.86000000001</v>
      </c>
      <c r="I26" s="16" t="n">
        <v>0</v>
      </c>
      <c r="J26" s="15" t="n">
        <v>67000</v>
      </c>
      <c r="K26" s="15" t="n">
        <v>135358</v>
      </c>
      <c r="L26" s="15" t="n">
        <v>1145</v>
      </c>
      <c r="M26" s="15" t="n">
        <v>17150</v>
      </c>
    </row>
    <row r="27">
      <c r="C27" s="13" t="inlineStr">
        <is>
          <t>Март</t>
        </is>
      </c>
      <c r="D27" s="15" t="n">
        <v>1393524</v>
      </c>
      <c r="E27" s="15" t="n">
        <v>999228</v>
      </c>
      <c r="F27" s="15" t="n">
        <v>394296</v>
      </c>
      <c r="G27" s="16" t="n">
        <v>0</v>
      </c>
      <c r="H27" s="15" t="n">
        <v>58030.98000000001</v>
      </c>
      <c r="I27" s="16" t="n">
        <v>0</v>
      </c>
      <c r="J27" s="15" t="n">
        <v>67000</v>
      </c>
      <c r="K27" s="15" t="n">
        <v>165382.44</v>
      </c>
      <c r="L27" s="15" t="n">
        <v>6839</v>
      </c>
      <c r="M27" s="15" t="n">
        <v>15339</v>
      </c>
    </row>
    <row r="28">
      <c r="C28" s="13" t="inlineStr">
        <is>
          <t>Апрель</t>
        </is>
      </c>
      <c r="D28" s="15" t="n">
        <v>919784</v>
      </c>
      <c r="E28" s="15" t="n">
        <v>672668</v>
      </c>
      <c r="F28" s="15" t="n">
        <v>247116</v>
      </c>
      <c r="G28" s="16" t="n">
        <v>0</v>
      </c>
      <c r="H28" s="15" t="n">
        <v>-87388.20000000001</v>
      </c>
      <c r="I28" s="16" t="n">
        <v>0</v>
      </c>
      <c r="J28" s="15" t="n">
        <v>67000</v>
      </c>
      <c r="K28" s="15" t="n">
        <v>164740.4</v>
      </c>
      <c r="L28" s="15" t="n">
        <v>18606</v>
      </c>
      <c r="M28" s="15" t="n">
        <v>31070</v>
      </c>
    </row>
    <row r="29">
      <c r="C29" s="13" t="inlineStr">
        <is>
          <t>Май</t>
        </is>
      </c>
      <c r="D29" s="15" t="n">
        <v>1099708</v>
      </c>
      <c r="E29" s="15" t="n">
        <v>817885</v>
      </c>
      <c r="F29" s="15" t="n">
        <v>281823</v>
      </c>
      <c r="G29" s="16" t="n">
        <v>0</v>
      </c>
      <c r="H29" s="15" t="n">
        <v>-182622.98</v>
      </c>
      <c r="I29" s="16" t="n">
        <v>0</v>
      </c>
      <c r="J29" s="15" t="n">
        <v>67000</v>
      </c>
      <c r="K29" s="15" t="n">
        <v>315036.18</v>
      </c>
      <c r="L29" s="15" t="n">
        <v>51351</v>
      </c>
      <c r="M29" s="15" t="n">
        <v>18169</v>
      </c>
    </row>
    <row r="30">
      <c r="C30" s="13" t="inlineStr">
        <is>
          <t>Июнь</t>
        </is>
      </c>
      <c r="D30" s="15" t="n">
        <v>974060</v>
      </c>
      <c r="E30" s="15" t="n">
        <v>720841</v>
      </c>
      <c r="F30" s="15" t="n">
        <v>253219</v>
      </c>
      <c r="G30" s="16" t="n">
        <v>0</v>
      </c>
      <c r="H30" s="15" t="n">
        <v>-33487.04000000001</v>
      </c>
      <c r="I30" s="16" t="n">
        <v>0</v>
      </c>
      <c r="J30" s="15" t="n">
        <v>67000</v>
      </c>
      <c r="K30" s="15" t="n">
        <v>145252.66</v>
      </c>
      <c r="L30" s="15" t="n">
        <v>3052</v>
      </c>
      <c r="M30" s="15" t="n">
        <v>13003</v>
      </c>
    </row>
    <row r="31">
      <c r="C31" s="13" t="inlineStr">
        <is>
          <t>Июль</t>
        </is>
      </c>
      <c r="D31" s="15" t="n">
        <v>1070898</v>
      </c>
      <c r="E31" s="15" t="n">
        <v>801603</v>
      </c>
      <c r="F31" s="15" t="n">
        <v>269295</v>
      </c>
      <c r="G31" s="16" t="n">
        <v>0</v>
      </c>
      <c r="H31" s="15" t="n">
        <v>-32781.36</v>
      </c>
      <c r="I31" s="16" t="n">
        <v>0</v>
      </c>
      <c r="J31" s="15" t="n">
        <v>67000</v>
      </c>
      <c r="K31" s="15" t="n">
        <v>151291.28</v>
      </c>
      <c r="L31" s="15" t="n">
        <v>1285</v>
      </c>
      <c r="M31" s="15" t="n">
        <v>18824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&amp;CМ_МИРА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6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МОЛ</t>
        </is>
      </c>
    </row>
    <row r="4"/>
    <row r="5" ht="30" customHeight="1">
      <c r="C5" s="2" t="inlineStr">
        <is>
          <t>операционная точка | Данные по листу «МОЛ»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Апрель</t>
        </is>
      </c>
      <c r="E18" s="15" t="n">
        <v>0</v>
      </c>
    </row>
    <row r="19">
      <c r="C19" s="14" t="inlineStr">
        <is>
          <t>Худший месяц</t>
        </is>
      </c>
      <c r="D19" s="13" t="n">
        <v>-151530.72</v>
      </c>
      <c r="E19" s="15" t="n">
        <v>-151530.72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-30.6%, убыток 418,795. Крупнейшая контролируемая нагрузка — Закупочная себестоимость 1,099,509; наибольший избыток к медиане — «ФОТ и налоги на персонал» (201,356).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479696</v>
      </c>
      <c r="E25" s="15" t="n">
        <v>380518</v>
      </c>
      <c r="F25" s="15" t="n">
        <v>99178</v>
      </c>
      <c r="G25" s="16" t="n">
        <v>0</v>
      </c>
      <c r="H25" s="15" t="n">
        <v>-131761.34</v>
      </c>
      <c r="I25" s="16" t="n">
        <v>0</v>
      </c>
      <c r="J25" s="15" t="n">
        <v>30000</v>
      </c>
      <c r="K25" s="15" t="n">
        <v>113270.84</v>
      </c>
      <c r="L25" s="15" t="n">
        <v>14098</v>
      </c>
      <c r="M25" s="15" t="n">
        <v>13872</v>
      </c>
    </row>
    <row r="26">
      <c r="C26" s="13" t="inlineStr">
        <is>
          <t>Февраль</t>
        </is>
      </c>
      <c r="D26" s="15" t="n">
        <v>395690</v>
      </c>
      <c r="E26" s="15" t="n">
        <v>326560</v>
      </c>
      <c r="F26" s="15" t="n">
        <v>69130</v>
      </c>
      <c r="G26" s="16" t="n">
        <v>0</v>
      </c>
      <c r="H26" s="15" t="n">
        <v>-151530.72</v>
      </c>
      <c r="I26" s="16" t="n">
        <v>0</v>
      </c>
      <c r="J26" s="15" t="n">
        <v>30000</v>
      </c>
      <c r="K26" s="15" t="n">
        <v>112285</v>
      </c>
      <c r="L26" s="15" t="n">
        <v>7483</v>
      </c>
      <c r="M26" s="15" t="n">
        <v>9000</v>
      </c>
    </row>
    <row r="27">
      <c r="C27" s="13" t="inlineStr">
        <is>
          <t>Март</t>
        </is>
      </c>
      <c r="D27" s="15" t="n">
        <v>494004</v>
      </c>
      <c r="E27" s="15" t="n">
        <v>392431</v>
      </c>
      <c r="F27" s="15" t="n">
        <v>101573</v>
      </c>
      <c r="G27" s="16" t="n">
        <v>0</v>
      </c>
      <c r="H27" s="15" t="n">
        <v>-135503.1</v>
      </c>
      <c r="I27" s="16" t="n">
        <v>0</v>
      </c>
      <c r="J27" s="15" t="n">
        <v>30000</v>
      </c>
      <c r="K27" s="15" t="n">
        <v>117330.22</v>
      </c>
      <c r="L27" s="15" t="n">
        <v>50002</v>
      </c>
      <c r="M27" s="15" t="n">
        <v>9751</v>
      </c>
    </row>
    <row r="28">
      <c r="C28" s="13" t="inlineStr">
        <is>
          <t>Апрель</t>
        </is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6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>
      <c r="C29" s="13" t="inlineStr">
        <is>
          <t>Май</t>
        </is>
      </c>
      <c r="D29" s="15" t="n">
        <v>0</v>
      </c>
      <c r="E29" s="15" t="n">
        <v>0</v>
      </c>
      <c r="F29" s="15" t="n">
        <v>0</v>
      </c>
      <c r="G29" s="16" t="n">
        <v>0</v>
      </c>
      <c r="H29" s="15" t="n">
        <v>0</v>
      </c>
      <c r="I29" s="16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>
      <c r="C30" s="13" t="inlineStr">
        <is>
          <t>Июнь</t>
        </is>
      </c>
      <c r="D30" s="15" t="n">
        <v>0</v>
      </c>
      <c r="E30" s="15" t="n">
        <v>0</v>
      </c>
      <c r="F30" s="15" t="n">
        <v>0</v>
      </c>
      <c r="G30" s="16" t="n">
        <v>0</v>
      </c>
      <c r="H30" s="15" t="n">
        <v>0</v>
      </c>
      <c r="I30" s="16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>
      <c r="C31" s="13" t="inlineStr">
        <is>
          <t>Июль</t>
        </is>
      </c>
      <c r="D31" s="15" t="n">
        <v>0</v>
      </c>
      <c r="E31" s="15" t="n">
        <v>0</v>
      </c>
      <c r="F31" s="15" t="n">
        <v>0</v>
      </c>
      <c r="G31" s="16" t="n">
        <v>0</v>
      </c>
      <c r="H31" s="15" t="n">
        <v>0</v>
      </c>
      <c r="I31" s="16" t="n">
        <v>0</v>
      </c>
      <c r="J31" s="15" t="n">
        <v>0</v>
      </c>
      <c r="K31" s="15" t="n">
        <v>0</v>
      </c>
      <c r="L31" s="15" t="n">
        <v>0</v>
      </c>
      <c r="M31" s="15" t="n">
        <v>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&amp;CМ_МОЛ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МОН</t>
        </is>
      </c>
    </row>
    <row r="4"/>
    <row r="5" ht="30" customHeight="1">
      <c r="C5" s="2" t="inlineStr">
        <is>
          <t>операционная точка | Данные по листу «МОН»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Апрель</t>
        </is>
      </c>
      <c r="E18" s="15" t="n">
        <v>138490.62</v>
      </c>
    </row>
    <row r="19">
      <c r="C19" s="14" t="inlineStr">
        <is>
          <t>Худший месяц</t>
        </is>
      </c>
      <c r="D19" s="13" t="n">
        <v>-121288.88</v>
      </c>
      <c r="E19" s="15" t="n">
        <v>-121288.88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0.9% против 4.6%. Ключевая нагрузка — Закупочная себестоимость 10,724,938; резерв к медиане — «ФОТ и налоги на персонал» (258,420).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1994164</v>
      </c>
      <c r="E25" s="15" t="n">
        <v>1470825</v>
      </c>
      <c r="F25" s="15" t="n">
        <v>523339</v>
      </c>
      <c r="G25" s="16" t="n">
        <v>0</v>
      </c>
      <c r="H25" s="15" t="n">
        <v>110509.1</v>
      </c>
      <c r="I25" s="16" t="n">
        <v>0</v>
      </c>
      <c r="J25" s="15" t="n">
        <v>75000</v>
      </c>
      <c r="K25" s="15" t="n">
        <v>102820</v>
      </c>
      <c r="L25" s="15" t="n">
        <v>58485</v>
      </c>
      <c r="M25" s="15" t="n">
        <v>28000</v>
      </c>
    </row>
    <row r="26">
      <c r="C26" s="13" t="inlineStr">
        <is>
          <t>Февраль</t>
        </is>
      </c>
      <c r="D26" s="15" t="n">
        <v>1992159</v>
      </c>
      <c r="E26" s="15" t="n">
        <v>1441502</v>
      </c>
      <c r="F26" s="15" t="n">
        <v>550657</v>
      </c>
      <c r="G26" s="16" t="n">
        <v>0</v>
      </c>
      <c r="H26" s="15" t="n">
        <v>-3312.500000000029</v>
      </c>
      <c r="I26" s="16" t="n">
        <v>0</v>
      </c>
      <c r="J26" s="15" t="n">
        <v>75000</v>
      </c>
      <c r="K26" s="15" t="n">
        <v>234700</v>
      </c>
      <c r="L26" s="15" t="n">
        <v>8198</v>
      </c>
      <c r="M26" s="15" t="n">
        <v>28000</v>
      </c>
    </row>
    <row r="27">
      <c r="C27" s="13" t="inlineStr">
        <is>
          <t>Март</t>
        </is>
      </c>
      <c r="D27" s="15" t="n">
        <v>2128822</v>
      </c>
      <c r="E27" s="15" t="n">
        <v>1552802</v>
      </c>
      <c r="F27" s="15" t="n">
        <v>576020</v>
      </c>
      <c r="G27" s="16" t="n">
        <v>0</v>
      </c>
      <c r="H27" s="15" t="n">
        <v>-121288.88</v>
      </c>
      <c r="I27" s="16" t="n">
        <v>0</v>
      </c>
      <c r="J27" s="15" t="n">
        <v>75000</v>
      </c>
      <c r="K27" s="15" t="n">
        <v>379794</v>
      </c>
      <c r="L27" s="15" t="n">
        <v>2369</v>
      </c>
      <c r="M27" s="15" t="n">
        <v>22000</v>
      </c>
    </row>
    <row r="28">
      <c r="C28" s="13" t="inlineStr">
        <is>
          <t>Апрель</t>
        </is>
      </c>
      <c r="D28" s="15" t="n">
        <v>2733958</v>
      </c>
      <c r="E28" s="15" t="n">
        <v>2041399</v>
      </c>
      <c r="F28" s="15" t="n">
        <v>692559</v>
      </c>
      <c r="G28" s="16" t="n">
        <v>0</v>
      </c>
      <c r="H28" s="15" t="n">
        <v>138490.62</v>
      </c>
      <c r="I28" s="16" t="n">
        <v>0</v>
      </c>
      <c r="J28" s="15" t="n">
        <v>75000</v>
      </c>
      <c r="K28" s="15" t="n">
        <v>206035</v>
      </c>
      <c r="L28" s="15" t="n">
        <v>1739</v>
      </c>
      <c r="M28" s="15" t="n">
        <v>28650</v>
      </c>
    </row>
    <row r="29">
      <c r="C29" s="13" t="inlineStr">
        <is>
          <t>Май</t>
        </is>
      </c>
      <c r="D29" s="15" t="n">
        <v>1920322</v>
      </c>
      <c r="E29" s="15" t="n">
        <v>1438885</v>
      </c>
      <c r="F29" s="15" t="n">
        <v>481437</v>
      </c>
      <c r="G29" s="16" t="n">
        <v>0</v>
      </c>
      <c r="H29" s="15" t="n">
        <v>-72457.23999999999</v>
      </c>
      <c r="I29" s="16" t="n">
        <v>0</v>
      </c>
      <c r="J29" s="15" t="n">
        <v>75000</v>
      </c>
      <c r="K29" s="15" t="n">
        <v>226973</v>
      </c>
      <c r="L29" s="15" t="n">
        <v>23053</v>
      </c>
      <c r="M29" s="15" t="n">
        <v>61000</v>
      </c>
    </row>
    <row r="30">
      <c r="C30" s="13" t="inlineStr">
        <is>
          <t>Июнь</t>
        </is>
      </c>
      <c r="D30" s="15" t="n">
        <v>1869111</v>
      </c>
      <c r="E30" s="15" t="n">
        <v>1381682</v>
      </c>
      <c r="F30" s="15" t="n">
        <v>487429</v>
      </c>
      <c r="G30" s="16" t="n">
        <v>0</v>
      </c>
      <c r="H30" s="15" t="n">
        <v>127242.78</v>
      </c>
      <c r="I30" s="16" t="n">
        <v>0</v>
      </c>
      <c r="J30" s="15" t="n">
        <v>0</v>
      </c>
      <c r="K30" s="15" t="n">
        <v>233985</v>
      </c>
      <c r="L30" s="15" t="n">
        <v>0</v>
      </c>
      <c r="M30" s="15" t="n">
        <v>19750</v>
      </c>
    </row>
    <row r="31">
      <c r="C31" s="13" t="inlineStr">
        <is>
          <t>Июль</t>
        </is>
      </c>
      <c r="D31" s="15" t="n">
        <v>1832971</v>
      </c>
      <c r="E31" s="15" t="n">
        <v>1397843</v>
      </c>
      <c r="F31" s="15" t="n">
        <v>435128</v>
      </c>
      <c r="G31" s="16" t="n">
        <v>0</v>
      </c>
      <c r="H31" s="15" t="n">
        <v>-48862.94</v>
      </c>
      <c r="I31" s="16" t="n">
        <v>0</v>
      </c>
      <c r="J31" s="15" t="n">
        <v>0</v>
      </c>
      <c r="K31" s="15" t="n">
        <v>369778</v>
      </c>
      <c r="L31" s="15" t="n">
        <v>9695</v>
      </c>
      <c r="M31" s="15" t="n">
        <v>31200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&amp;CМ_МОН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Н95</t>
        </is>
      </c>
    </row>
    <row r="4"/>
    <row r="5" ht="30" customHeight="1">
      <c r="C5" s="2" t="inlineStr">
        <is>
          <t>операционная точка | Данные по листу «Н95»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-15318.57999999997</v>
      </c>
    </row>
    <row r="19">
      <c r="C19" s="14" t="inlineStr">
        <is>
          <t>Худший месяц</t>
        </is>
      </c>
      <c r="D19" s="13" t="n">
        <v>-264045.94</v>
      </c>
      <c r="E19" s="15" t="n">
        <v>-264045.94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-8.3%, убыток 980,942. Крупнейшая контролируемая нагрузка — Закупочная себестоимость 8,579,686; наибольший избыток к медиане — «ФОТ и налоги на персонал» (1,038,481).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1366642</v>
      </c>
      <c r="E25" s="15" t="n">
        <v>989489</v>
      </c>
      <c r="F25" s="15" t="n">
        <v>377153</v>
      </c>
      <c r="G25" s="16" t="n">
        <v>0</v>
      </c>
      <c r="H25" s="15" t="n">
        <v>-60007.74000000002</v>
      </c>
      <c r="I25" s="16" t="n">
        <v>0</v>
      </c>
      <c r="J25" s="15" t="n">
        <v>40812</v>
      </c>
      <c r="K25" s="15" t="n">
        <v>229512</v>
      </c>
      <c r="L25" s="15" t="n">
        <v>15087</v>
      </c>
      <c r="M25" s="15" t="n">
        <v>79750</v>
      </c>
    </row>
    <row r="26">
      <c r="C26" s="13" t="inlineStr">
        <is>
          <t>Февраль</t>
        </is>
      </c>
      <c r="D26" s="15" t="n">
        <v>1874805</v>
      </c>
      <c r="E26" s="15" t="n">
        <v>1342505</v>
      </c>
      <c r="F26" s="15" t="n">
        <v>532300</v>
      </c>
      <c r="G26" s="16" t="n">
        <v>0</v>
      </c>
      <c r="H26" s="15" t="n">
        <v>-264045.94</v>
      </c>
      <c r="I26" s="16" t="n">
        <v>0</v>
      </c>
      <c r="J26" s="15" t="n">
        <v>40812</v>
      </c>
      <c r="K26" s="15" t="n">
        <v>396068.16</v>
      </c>
      <c r="L26" s="15" t="n">
        <v>149608</v>
      </c>
      <c r="M26" s="15" t="n">
        <v>104428</v>
      </c>
    </row>
    <row r="27">
      <c r="C27" s="13" t="inlineStr">
        <is>
          <t>Март</t>
        </is>
      </c>
      <c r="D27" s="15" t="n">
        <v>2289906</v>
      </c>
      <c r="E27" s="15" t="n">
        <v>1648226</v>
      </c>
      <c r="F27" s="15" t="n">
        <v>641680</v>
      </c>
      <c r="G27" s="16" t="n">
        <v>0</v>
      </c>
      <c r="H27" s="15" t="n">
        <v>-15318.57999999997</v>
      </c>
      <c r="I27" s="16" t="n">
        <v>0</v>
      </c>
      <c r="J27" s="15" t="n">
        <v>40812</v>
      </c>
      <c r="K27" s="15" t="n">
        <v>318013.48</v>
      </c>
      <c r="L27" s="15" t="n">
        <v>21912</v>
      </c>
      <c r="M27" s="15" t="n">
        <v>84834</v>
      </c>
    </row>
    <row r="28">
      <c r="C28" s="13" t="inlineStr">
        <is>
          <t>Апрель</t>
        </is>
      </c>
      <c r="D28" s="15" t="n">
        <v>1633300</v>
      </c>
      <c r="E28" s="15" t="n">
        <v>1170595</v>
      </c>
      <c r="F28" s="15" t="n">
        <v>462705</v>
      </c>
      <c r="G28" s="16" t="n">
        <v>0</v>
      </c>
      <c r="H28" s="15" t="n">
        <v>-56207.38000000003</v>
      </c>
      <c r="I28" s="16" t="n">
        <v>0</v>
      </c>
      <c r="J28" s="15" t="n">
        <v>40812</v>
      </c>
      <c r="K28" s="15" t="n">
        <v>287057.94</v>
      </c>
      <c r="L28" s="15" t="n">
        <v>5083</v>
      </c>
      <c r="M28" s="15" t="n">
        <v>15977</v>
      </c>
    </row>
    <row r="29">
      <c r="C29" s="13" t="inlineStr">
        <is>
          <t>Май</t>
        </is>
      </c>
      <c r="D29" s="15" t="n">
        <v>1598791</v>
      </c>
      <c r="E29" s="15" t="n">
        <v>1178537</v>
      </c>
      <c r="F29" s="15" t="n">
        <v>420254</v>
      </c>
      <c r="G29" s="16" t="n">
        <v>0</v>
      </c>
      <c r="H29" s="15" t="n">
        <v>-240987.04</v>
      </c>
      <c r="I29" s="16" t="n">
        <v>0</v>
      </c>
      <c r="J29" s="15" t="n">
        <v>41000</v>
      </c>
      <c r="K29" s="15" t="n">
        <v>436717.08</v>
      </c>
      <c r="L29" s="15" t="n">
        <v>16868</v>
      </c>
      <c r="M29" s="15" t="n">
        <v>9164</v>
      </c>
    </row>
    <row r="30">
      <c r="C30" s="13" t="inlineStr">
        <is>
          <t>Июнь</t>
        </is>
      </c>
      <c r="D30" s="15" t="n">
        <v>1518358</v>
      </c>
      <c r="E30" s="15" t="n">
        <v>1143399</v>
      </c>
      <c r="F30" s="15" t="n">
        <v>374959</v>
      </c>
      <c r="G30" s="16" t="n">
        <v>0</v>
      </c>
      <c r="H30" s="15" t="n">
        <v>-186841.68</v>
      </c>
      <c r="I30" s="16" t="n">
        <v>0</v>
      </c>
      <c r="J30" s="15" t="n">
        <v>41000</v>
      </c>
      <c r="K30" s="15" t="n">
        <v>290796.86</v>
      </c>
      <c r="L30" s="15" t="n">
        <v>3973</v>
      </c>
      <c r="M30" s="15" t="n">
        <v>70663</v>
      </c>
    </row>
    <row r="31">
      <c r="C31" s="13" t="inlineStr">
        <is>
          <t>Июль</t>
        </is>
      </c>
      <c r="D31" s="15" t="n">
        <v>1480310</v>
      </c>
      <c r="E31" s="15" t="n">
        <v>1106935</v>
      </c>
      <c r="F31" s="15" t="n">
        <v>373375</v>
      </c>
      <c r="G31" s="16" t="n">
        <v>0</v>
      </c>
      <c r="H31" s="15" t="n">
        <v>-157533.62</v>
      </c>
      <c r="I31" s="16" t="n">
        <v>0</v>
      </c>
      <c r="J31" s="15" t="n">
        <v>40000</v>
      </c>
      <c r="K31" s="15" t="n">
        <v>295958.58</v>
      </c>
      <c r="L31" s="15" t="n">
        <v>6470</v>
      </c>
      <c r="M31" s="15" t="n">
        <v>40394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&amp;CМ_Н95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НИК</t>
        </is>
      </c>
    </row>
    <row r="4"/>
    <row r="5" ht="30" customHeight="1">
      <c r="C5" s="2" t="inlineStr">
        <is>
          <t>операционная точка | Данные по листу «НИК»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-927.1799999999848</v>
      </c>
    </row>
    <row r="19">
      <c r="C19" s="14" t="inlineStr">
        <is>
          <t>Худший месяц</t>
        </is>
      </c>
      <c r="D19" s="13" t="n">
        <v>-204839.08</v>
      </c>
      <c r="E19" s="15" t="n">
        <v>-204839.08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-7.7%, убыток 688,112. Крупнейшая контролируемая нагрузка — Закупочная себестоимость 6,642,512; наибольший избыток к медиане — «ФОТ и налоги на персонал» (373,718).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1387664</v>
      </c>
      <c r="E25" s="15" t="n">
        <v>1025951</v>
      </c>
      <c r="F25" s="15" t="n">
        <v>361713</v>
      </c>
      <c r="G25" s="16" t="n">
        <v>0</v>
      </c>
      <c r="H25" s="15" t="n">
        <v>-927.1799999999848</v>
      </c>
      <c r="I25" s="16" t="n">
        <v>0</v>
      </c>
      <c r="J25" s="15" t="n">
        <v>95000</v>
      </c>
      <c r="K25" s="15" t="n">
        <v>108549.54</v>
      </c>
      <c r="L25" s="15" t="n">
        <v>37545</v>
      </c>
      <c r="M25" s="15" t="n">
        <v>14907</v>
      </c>
    </row>
    <row r="26">
      <c r="C26" s="13" t="inlineStr">
        <is>
          <t>Февраль</t>
        </is>
      </c>
      <c r="D26" s="15" t="n">
        <v>1476402</v>
      </c>
      <c r="E26" s="15" t="n">
        <v>1086964</v>
      </c>
      <c r="F26" s="15" t="n">
        <v>389438</v>
      </c>
      <c r="G26" s="16" t="n">
        <v>0</v>
      </c>
      <c r="H26" s="15" t="n">
        <v>-28618.10000000001</v>
      </c>
      <c r="I26" s="16" t="n">
        <v>0</v>
      </c>
      <c r="J26" s="15" t="n">
        <v>95000</v>
      </c>
      <c r="K26" s="15" t="n">
        <v>160542</v>
      </c>
      <c r="L26" s="15" t="n">
        <v>6176</v>
      </c>
      <c r="M26" s="15" t="n">
        <v>12000</v>
      </c>
    </row>
    <row r="27">
      <c r="C27" s="13" t="inlineStr">
        <is>
          <t>Март</t>
        </is>
      </c>
      <c r="D27" s="15" t="n">
        <v>1566145</v>
      </c>
      <c r="E27" s="15" t="n">
        <v>1159408</v>
      </c>
      <c r="F27" s="15" t="n">
        <v>406737</v>
      </c>
      <c r="G27" s="16" t="n">
        <v>0</v>
      </c>
      <c r="H27" s="15" t="n">
        <v>-76363.64000000001</v>
      </c>
      <c r="I27" s="16" t="n">
        <v>0</v>
      </c>
      <c r="J27" s="15" t="n">
        <v>95000</v>
      </c>
      <c r="K27" s="15" t="n">
        <v>174810</v>
      </c>
      <c r="L27" s="15" t="n">
        <v>5138</v>
      </c>
      <c r="M27" s="15" t="n">
        <v>58000</v>
      </c>
    </row>
    <row r="28">
      <c r="C28" s="13" t="inlineStr">
        <is>
          <t>Апрель</t>
        </is>
      </c>
      <c r="D28" s="15" t="n">
        <v>1254541</v>
      </c>
      <c r="E28" s="15" t="n">
        <v>910883</v>
      </c>
      <c r="F28" s="15" t="n">
        <v>343658</v>
      </c>
      <c r="G28" s="16" t="n">
        <v>0</v>
      </c>
      <c r="H28" s="15" t="n">
        <v>-204839.08</v>
      </c>
      <c r="I28" s="16" t="n">
        <v>0</v>
      </c>
      <c r="J28" s="15" t="n">
        <v>95000</v>
      </c>
      <c r="K28" s="15" t="n">
        <v>300832.12</v>
      </c>
      <c r="L28" s="15" t="n">
        <v>43751</v>
      </c>
      <c r="M28" s="15" t="n">
        <v>11046</v>
      </c>
    </row>
    <row r="29">
      <c r="C29" s="13" t="inlineStr">
        <is>
          <t>Май</t>
        </is>
      </c>
      <c r="D29" s="15" t="n">
        <v>1064117</v>
      </c>
      <c r="E29" s="15" t="n">
        <v>795014</v>
      </c>
      <c r="F29" s="15" t="n">
        <v>269103</v>
      </c>
      <c r="G29" s="16" t="n">
        <v>0</v>
      </c>
      <c r="H29" s="15" t="n">
        <v>-200856.02</v>
      </c>
      <c r="I29" s="16" t="n">
        <v>0</v>
      </c>
      <c r="J29" s="15" t="n">
        <v>95000</v>
      </c>
      <c r="K29" s="15" t="n">
        <v>266208.9</v>
      </c>
      <c r="L29" s="15" t="n">
        <v>34444</v>
      </c>
      <c r="M29" s="15" t="n">
        <v>595</v>
      </c>
    </row>
    <row r="30">
      <c r="C30" s="13" t="inlineStr">
        <is>
          <t>Июнь</t>
        </is>
      </c>
      <c r="D30" s="15" t="n">
        <v>1006553</v>
      </c>
      <c r="E30" s="15" t="n">
        <v>748124</v>
      </c>
      <c r="F30" s="15" t="n">
        <v>258429</v>
      </c>
      <c r="G30" s="16" t="n">
        <v>0</v>
      </c>
      <c r="H30" s="15" t="n">
        <v>-66994.16</v>
      </c>
      <c r="I30" s="16" t="n">
        <v>0</v>
      </c>
      <c r="J30" s="15" t="n">
        <v>95000</v>
      </c>
      <c r="K30" s="15" t="n">
        <v>122163.46</v>
      </c>
      <c r="L30" s="15" t="n">
        <v>48638</v>
      </c>
      <c r="M30" s="15" t="n">
        <v>1693</v>
      </c>
    </row>
    <row r="31">
      <c r="C31" s="13" t="inlineStr">
        <is>
          <t>Июль</t>
        </is>
      </c>
      <c r="D31" s="15" t="n">
        <v>1189361</v>
      </c>
      <c r="E31" s="15" t="n">
        <v>916168</v>
      </c>
      <c r="F31" s="15" t="n">
        <v>273193</v>
      </c>
      <c r="G31" s="16" t="n">
        <v>0</v>
      </c>
      <c r="H31" s="15" t="n">
        <v>-109514.2</v>
      </c>
      <c r="I31" s="16" t="n">
        <v>0</v>
      </c>
      <c r="J31" s="15" t="n">
        <v>95000</v>
      </c>
      <c r="K31" s="15" t="n">
        <v>165077.24</v>
      </c>
      <c r="L31" s="15" t="n">
        <v>10162</v>
      </c>
      <c r="M31" s="15" t="n">
        <v>13242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&amp;CМ_НИК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ОЛЕ</t>
        </is>
      </c>
    </row>
    <row r="4"/>
    <row r="5" ht="30" customHeight="1">
      <c r="C5" s="2" t="inlineStr">
        <is>
          <t>операционная точка | Данные по листу «ОЛЕ»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502587.9999999999</v>
      </c>
    </row>
    <row r="19">
      <c r="C19" s="14" t="inlineStr">
        <is>
          <t>Худший месяц</t>
        </is>
      </c>
      <c r="D19" s="13" t="n">
        <v>45322.79999999999</v>
      </c>
      <c r="E19" s="15" t="n">
        <v>45322.79999999999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8.6% против 4.6%. Результат поддержан валовой маржой 26.6%; крупнейшая контролируемая статья — Закупочная себестоимость 17,227,086.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2949829</v>
      </c>
      <c r="E25" s="15" t="n">
        <v>2136094</v>
      </c>
      <c r="F25" s="15" t="n">
        <v>813735</v>
      </c>
      <c r="G25" s="16" t="n">
        <v>0</v>
      </c>
      <c r="H25" s="15" t="n">
        <v>333003.8</v>
      </c>
      <c r="I25" s="16" t="n">
        <v>0</v>
      </c>
      <c r="J25" s="15" t="n">
        <v>30750</v>
      </c>
      <c r="K25" s="15" t="n">
        <v>197214.76</v>
      </c>
      <c r="L25" s="15" t="n">
        <v>6779</v>
      </c>
      <c r="M25" s="15" t="n">
        <v>59058</v>
      </c>
    </row>
    <row r="26">
      <c r="C26" s="13" t="inlineStr">
        <is>
          <t>Февраль</t>
        </is>
      </c>
      <c r="D26" s="15" t="n">
        <v>3915739</v>
      </c>
      <c r="E26" s="15" t="n">
        <v>2856149</v>
      </c>
      <c r="F26" s="15" t="n">
        <v>1059590</v>
      </c>
      <c r="G26" s="16" t="n">
        <v>0</v>
      </c>
      <c r="H26" s="15" t="n">
        <v>502587.9999999999</v>
      </c>
      <c r="I26" s="16" t="n">
        <v>0</v>
      </c>
      <c r="J26" s="15" t="n">
        <v>30750</v>
      </c>
      <c r="K26" s="15" t="n">
        <v>247126.78</v>
      </c>
      <c r="L26" s="15" t="n">
        <v>15802</v>
      </c>
      <c r="M26" s="15" t="n">
        <v>46699</v>
      </c>
    </row>
    <row r="27">
      <c r="C27" s="13" t="inlineStr">
        <is>
          <t>Март</t>
        </is>
      </c>
      <c r="D27" s="15" t="n">
        <v>3602886</v>
      </c>
      <c r="E27" s="15" t="n">
        <v>2613646</v>
      </c>
      <c r="F27" s="15" t="n">
        <v>989240</v>
      </c>
      <c r="G27" s="16" t="n">
        <v>0</v>
      </c>
      <c r="H27" s="15" t="n">
        <v>385344.0600000001</v>
      </c>
      <c r="I27" s="16" t="n">
        <v>0</v>
      </c>
      <c r="J27" s="15" t="n">
        <v>30750</v>
      </c>
      <c r="K27" s="15" t="n">
        <v>302310.48</v>
      </c>
      <c r="L27" s="15" t="n">
        <v>18896</v>
      </c>
      <c r="M27" s="15" t="n">
        <v>47499</v>
      </c>
    </row>
    <row r="28">
      <c r="C28" s="13" t="inlineStr">
        <is>
          <t>Апрель</t>
        </is>
      </c>
      <c r="D28" s="15" t="n">
        <v>3099226</v>
      </c>
      <c r="E28" s="15" t="n">
        <v>2279240</v>
      </c>
      <c r="F28" s="15" t="n">
        <v>819986</v>
      </c>
      <c r="G28" s="16" t="n">
        <v>0</v>
      </c>
      <c r="H28" s="15" t="n">
        <v>235399.68</v>
      </c>
      <c r="I28" s="16" t="n">
        <v>0</v>
      </c>
      <c r="J28" s="15" t="n">
        <v>30750</v>
      </c>
      <c r="K28" s="15" t="n">
        <v>284450.86</v>
      </c>
      <c r="L28" s="15" t="n">
        <v>6501</v>
      </c>
      <c r="M28" s="15" t="n">
        <v>70750</v>
      </c>
    </row>
    <row r="29">
      <c r="C29" s="13" t="inlineStr">
        <is>
          <t>Май</t>
        </is>
      </c>
      <c r="D29" s="15" t="n">
        <v>3398131</v>
      </c>
      <c r="E29" s="15" t="n">
        <v>2518718</v>
      </c>
      <c r="F29" s="15" t="n">
        <v>879413</v>
      </c>
      <c r="G29" s="16" t="n">
        <v>0</v>
      </c>
      <c r="H29" s="15" t="n">
        <v>142867.8400000001</v>
      </c>
      <c r="I29" s="16" t="n">
        <v>0</v>
      </c>
      <c r="J29" s="15" t="n">
        <v>30750</v>
      </c>
      <c r="K29" s="15" t="n">
        <v>474060.78</v>
      </c>
      <c r="L29" s="15" t="n">
        <v>39706</v>
      </c>
      <c r="M29" s="15" t="n">
        <v>45349</v>
      </c>
    </row>
    <row r="30">
      <c r="C30" s="13" t="inlineStr">
        <is>
          <t>Июнь</t>
        </is>
      </c>
      <c r="D30" s="15" t="n">
        <v>3418913</v>
      </c>
      <c r="E30" s="15" t="n">
        <v>2536515</v>
      </c>
      <c r="F30" s="15" t="n">
        <v>882398</v>
      </c>
      <c r="G30" s="16" t="n">
        <v>0</v>
      </c>
      <c r="H30" s="15" t="n">
        <v>363161.3999999999</v>
      </c>
      <c r="I30" s="16" t="n">
        <v>0</v>
      </c>
      <c r="J30" s="15" t="n">
        <v>30750</v>
      </c>
      <c r="K30" s="15" t="n">
        <v>222415.28</v>
      </c>
      <c r="L30" s="15" t="n">
        <v>2373</v>
      </c>
      <c r="M30" s="15" t="n">
        <v>48552</v>
      </c>
    </row>
    <row r="31">
      <c r="C31" s="13" t="inlineStr">
        <is>
          <t>Июль</t>
        </is>
      </c>
      <c r="D31" s="15" t="n">
        <v>3095428</v>
      </c>
      <c r="E31" s="15" t="n">
        <v>2286724</v>
      </c>
      <c r="F31" s="15" t="n">
        <v>808704</v>
      </c>
      <c r="G31" s="16" t="n">
        <v>0</v>
      </c>
      <c r="H31" s="15" t="n">
        <v>45322.79999999999</v>
      </c>
      <c r="I31" s="16" t="n">
        <v>0</v>
      </c>
      <c r="J31" s="15" t="n">
        <v>30750</v>
      </c>
      <c r="K31" s="15" t="n">
        <v>453973.06</v>
      </c>
      <c r="L31" s="15" t="n">
        <v>20740</v>
      </c>
      <c r="M31" s="15" t="n">
        <v>71889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&amp;CМ_ОЛЕ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П.ЗОР</t>
        </is>
      </c>
    </row>
    <row r="4"/>
    <row r="5" ht="30" customHeight="1">
      <c r="C5" s="2" t="inlineStr">
        <is>
          <t>операционная точка | Данные по листу «П.ЗОР»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121990.62</v>
      </c>
    </row>
    <row r="19">
      <c r="C19" s="14" t="inlineStr">
        <is>
          <t>Худший месяц</t>
        </is>
      </c>
      <c r="D19" s="13" t="n">
        <v>-216910.98</v>
      </c>
      <c r="E19" s="15" t="n">
        <v>-216910.98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-1.6%, убыток 226,962. Крупнейшая контролируемая нагрузка — Закупочная себестоимость 10,458,457; наибольший избыток к медиане — «Операционные траты за наличные» (441,806).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2184696</v>
      </c>
      <c r="E25" s="15" t="n">
        <v>1549301</v>
      </c>
      <c r="F25" s="15" t="n">
        <v>635395</v>
      </c>
      <c r="G25" s="16" t="n">
        <v>0</v>
      </c>
      <c r="H25" s="15" t="n">
        <v>91490.12</v>
      </c>
      <c r="I25" s="16" t="n">
        <v>0</v>
      </c>
      <c r="J25" s="15" t="n">
        <v>100000</v>
      </c>
      <c r="K25" s="15" t="n">
        <v>149526</v>
      </c>
      <c r="L25" s="15" t="n">
        <v>5723</v>
      </c>
      <c r="M25" s="15" t="n">
        <v>77500</v>
      </c>
    </row>
    <row r="26">
      <c r="C26" s="13" t="inlineStr">
        <is>
          <t>Февраль</t>
        </is>
      </c>
      <c r="D26" s="15" t="n">
        <v>2782038</v>
      </c>
      <c r="E26" s="15" t="n">
        <v>1977705</v>
      </c>
      <c r="F26" s="15" t="n">
        <v>804333</v>
      </c>
      <c r="G26" s="16" t="n">
        <v>0</v>
      </c>
      <c r="H26" s="15" t="n">
        <v>121990.62</v>
      </c>
      <c r="I26" s="16" t="n">
        <v>0</v>
      </c>
      <c r="J26" s="15" t="n">
        <v>100000</v>
      </c>
      <c r="K26" s="15" t="n">
        <v>218712.74</v>
      </c>
      <c r="L26" s="15" t="n">
        <v>30000</v>
      </c>
      <c r="M26" s="15" t="n">
        <v>81767</v>
      </c>
    </row>
    <row r="27">
      <c r="C27" s="13" t="inlineStr">
        <is>
          <t>Март</t>
        </is>
      </c>
      <c r="D27" s="15" t="n">
        <v>2323028</v>
      </c>
      <c r="E27" s="15" t="n">
        <v>1675864</v>
      </c>
      <c r="F27" s="15" t="n">
        <v>647164</v>
      </c>
      <c r="G27" s="16" t="n">
        <v>0</v>
      </c>
      <c r="H27" s="15" t="n">
        <v>39922.16000000003</v>
      </c>
      <c r="I27" s="16" t="n">
        <v>0</v>
      </c>
      <c r="J27" s="15" t="n">
        <v>100000</v>
      </c>
      <c r="K27" s="15" t="n">
        <v>195606</v>
      </c>
      <c r="L27" s="15" t="n">
        <v>0</v>
      </c>
      <c r="M27" s="15" t="n">
        <v>81300</v>
      </c>
    </row>
    <row r="28">
      <c r="C28" s="13" t="inlineStr">
        <is>
          <t>Апрель</t>
        </is>
      </c>
      <c r="D28" s="15" t="n">
        <v>2210534</v>
      </c>
      <c r="E28" s="15" t="n">
        <v>1584857</v>
      </c>
      <c r="F28" s="15" t="n">
        <v>625677</v>
      </c>
      <c r="G28" s="16" t="n">
        <v>0</v>
      </c>
      <c r="H28" s="15" t="n">
        <v>-151263.92</v>
      </c>
      <c r="I28" s="16" t="n">
        <v>0</v>
      </c>
      <c r="J28" s="15" t="n">
        <v>100000</v>
      </c>
      <c r="K28" s="15" t="n">
        <v>374152.98</v>
      </c>
      <c r="L28" s="15" t="n">
        <v>0</v>
      </c>
      <c r="M28" s="15" t="n">
        <v>80359</v>
      </c>
    </row>
    <row r="29">
      <c r="C29" s="13" t="inlineStr">
        <is>
          <t>Май</t>
        </is>
      </c>
      <c r="D29" s="15" t="n">
        <v>1554077</v>
      </c>
      <c r="E29" s="15" t="n">
        <v>1135934</v>
      </c>
      <c r="F29" s="15" t="n">
        <v>418143</v>
      </c>
      <c r="G29" s="16" t="n">
        <v>0</v>
      </c>
      <c r="H29" s="15" t="n">
        <v>-216910.98</v>
      </c>
      <c r="I29" s="16" t="n">
        <v>0</v>
      </c>
      <c r="J29" s="15" t="n">
        <v>100000</v>
      </c>
      <c r="K29" s="15" t="n">
        <v>179848</v>
      </c>
      <c r="L29" s="15" t="n">
        <v>0</v>
      </c>
      <c r="M29" s="15" t="n">
        <v>188000</v>
      </c>
    </row>
    <row r="30">
      <c r="C30" s="13" t="inlineStr">
        <is>
          <t>Июнь</t>
        </is>
      </c>
      <c r="D30" s="15" t="n">
        <v>1656763</v>
      </c>
      <c r="E30" s="15" t="n">
        <v>1205165</v>
      </c>
      <c r="F30" s="15" t="n">
        <v>451598</v>
      </c>
      <c r="G30" s="16" t="n">
        <v>0</v>
      </c>
      <c r="H30" s="15" t="n">
        <v>-113623.98</v>
      </c>
      <c r="I30" s="16" t="n">
        <v>0</v>
      </c>
      <c r="J30" s="15" t="n">
        <v>0</v>
      </c>
      <c r="K30" s="15" t="n">
        <v>330527.4</v>
      </c>
      <c r="L30" s="15" t="n">
        <v>7160</v>
      </c>
      <c r="M30" s="15" t="n">
        <v>60420</v>
      </c>
    </row>
    <row r="31">
      <c r="C31" s="13" t="inlineStr">
        <is>
          <t>Июль</t>
        </is>
      </c>
      <c r="D31" s="15" t="n">
        <v>1797998</v>
      </c>
      <c r="E31" s="15" t="n">
        <v>1329631</v>
      </c>
      <c r="F31" s="15" t="n">
        <v>468367</v>
      </c>
      <c r="G31" s="16" t="n">
        <v>0</v>
      </c>
      <c r="H31" s="15" t="n">
        <v>1434.159999999998</v>
      </c>
      <c r="I31" s="16" t="n">
        <v>0</v>
      </c>
      <c r="J31" s="15" t="n">
        <v>122500</v>
      </c>
      <c r="K31" s="15" t="n">
        <v>143488.4</v>
      </c>
      <c r="L31" s="15" t="n">
        <v>0</v>
      </c>
      <c r="M31" s="15" t="n">
        <v>22170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&amp;CМ_П.ЗОР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9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ПЗ1</t>
        </is>
      </c>
    </row>
    <row r="4"/>
    <row r="5" ht="30" customHeight="1">
      <c r="C5" s="2" t="inlineStr">
        <is>
          <t>операционная точка | Данные по листу «ПЗ1»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67947.48000000001</v>
      </c>
    </row>
    <row r="19">
      <c r="C19" s="14" t="inlineStr">
        <is>
          <t>Худший месяц</t>
        </is>
      </c>
      <c r="D19" s="13" t="n">
        <v>-204676.32</v>
      </c>
      <c r="E19" s="15" t="n">
        <v>-204676.32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-3.0%, убыток 272,046. Крупнейшая контролируемая нагрузка — Закупочная себестоимость 6,859,319; наибольший избыток к медиане — «Аренда» (332,740).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1008581</v>
      </c>
      <c r="E25" s="15" t="n">
        <v>736347</v>
      </c>
      <c r="F25" s="15" t="n">
        <v>272234</v>
      </c>
      <c r="G25" s="16" t="n">
        <v>0</v>
      </c>
      <c r="H25" s="15" t="n">
        <v>-53008.4</v>
      </c>
      <c r="I25" s="16" t="n">
        <v>0</v>
      </c>
      <c r="J25" s="15" t="n">
        <v>95000</v>
      </c>
      <c r="K25" s="15" t="n">
        <v>102017.6</v>
      </c>
      <c r="L25" s="15" t="n">
        <v>32687</v>
      </c>
      <c r="M25" s="15" t="n">
        <v>12630</v>
      </c>
    </row>
    <row r="26">
      <c r="C26" s="13" t="inlineStr">
        <is>
          <t>Февраль</t>
        </is>
      </c>
      <c r="D26" s="15" t="n">
        <v>1124096</v>
      </c>
      <c r="E26" s="15" t="n">
        <v>827404</v>
      </c>
      <c r="F26" s="15" t="n">
        <v>296692</v>
      </c>
      <c r="G26" s="16" t="n">
        <v>0</v>
      </c>
      <c r="H26" s="15" t="n">
        <v>-54574.46</v>
      </c>
      <c r="I26" s="16" t="n">
        <v>0</v>
      </c>
      <c r="J26" s="15" t="n">
        <v>95000</v>
      </c>
      <c r="K26" s="15" t="n">
        <v>141385.9</v>
      </c>
      <c r="L26" s="15" t="n">
        <v>5699</v>
      </c>
      <c r="M26" s="15" t="n">
        <v>9295</v>
      </c>
    </row>
    <row r="27">
      <c r="C27" s="13" t="inlineStr">
        <is>
          <t>Март</t>
        </is>
      </c>
      <c r="D27" s="15" t="n">
        <v>1646204</v>
      </c>
      <c r="E27" s="15" t="n">
        <v>1230978</v>
      </c>
      <c r="F27" s="15" t="n">
        <v>415226</v>
      </c>
      <c r="G27" s="16" t="n">
        <v>0</v>
      </c>
      <c r="H27" s="15" t="n">
        <v>67947.48000000001</v>
      </c>
      <c r="I27" s="16" t="n">
        <v>0</v>
      </c>
      <c r="J27" s="15" t="n">
        <v>95000</v>
      </c>
      <c r="K27" s="15" t="n">
        <v>149381.22</v>
      </c>
      <c r="L27" s="15" t="n">
        <v>13574</v>
      </c>
      <c r="M27" s="15" t="n">
        <v>10336</v>
      </c>
    </row>
    <row r="28">
      <c r="C28" s="13" t="inlineStr">
        <is>
          <t>Апрель</t>
        </is>
      </c>
      <c r="D28" s="15" t="n">
        <v>1354079</v>
      </c>
      <c r="E28" s="15" t="n">
        <v>1011792</v>
      </c>
      <c r="F28" s="15" t="n">
        <v>342287</v>
      </c>
      <c r="G28" s="16" t="n">
        <v>0</v>
      </c>
      <c r="H28" s="15" t="n">
        <v>-16680.40000000001</v>
      </c>
      <c r="I28" s="16" t="n">
        <v>0</v>
      </c>
      <c r="J28" s="15" t="n">
        <v>95000</v>
      </c>
      <c r="K28" s="15" t="n">
        <v>165275.3</v>
      </c>
      <c r="L28" s="15" t="n">
        <v>18854</v>
      </c>
      <c r="M28" s="15" t="n">
        <v>16789</v>
      </c>
    </row>
    <row r="29">
      <c r="C29" s="13" t="inlineStr">
        <is>
          <t>Май</t>
        </is>
      </c>
      <c r="D29" s="15" t="n">
        <v>1374559</v>
      </c>
      <c r="E29" s="15" t="n">
        <v>1031826</v>
      </c>
      <c r="F29" s="15" t="n">
        <v>342733</v>
      </c>
      <c r="G29" s="16" t="n">
        <v>0</v>
      </c>
      <c r="H29" s="15" t="n">
        <v>-154.7400000000289</v>
      </c>
      <c r="I29" s="16" t="n">
        <v>0</v>
      </c>
      <c r="J29" s="15" t="n">
        <v>95000</v>
      </c>
      <c r="K29" s="15" t="n">
        <v>164079.24</v>
      </c>
      <c r="L29" s="15" t="n">
        <v>139327</v>
      </c>
      <c r="M29" s="15" t="n">
        <v>9432</v>
      </c>
    </row>
    <row r="30">
      <c r="C30" s="13" t="inlineStr">
        <is>
          <t>Июнь</t>
        </is>
      </c>
      <c r="D30" s="15" t="n">
        <v>1380243</v>
      </c>
      <c r="E30" s="15" t="n">
        <v>1044484</v>
      </c>
      <c r="F30" s="15" t="n">
        <v>335759</v>
      </c>
      <c r="G30" s="16" t="n">
        <v>0</v>
      </c>
      <c r="H30" s="15" t="n">
        <v>-10898.97999999999</v>
      </c>
      <c r="I30" s="16" t="n">
        <v>0</v>
      </c>
      <c r="J30" s="15" t="n">
        <v>95000</v>
      </c>
      <c r="K30" s="15" t="n">
        <v>160557.3</v>
      </c>
      <c r="L30" s="15" t="n">
        <v>35179</v>
      </c>
      <c r="M30" s="15" t="n">
        <v>12065</v>
      </c>
    </row>
    <row r="31">
      <c r="C31" s="13" t="inlineStr">
        <is>
          <t>Июль</t>
        </is>
      </c>
      <c r="D31" s="15" t="n">
        <v>1263046</v>
      </c>
      <c r="E31" s="15" t="n">
        <v>976488</v>
      </c>
      <c r="F31" s="15" t="n">
        <v>286558</v>
      </c>
      <c r="G31" s="16" t="n">
        <v>0</v>
      </c>
      <c r="H31" s="15" t="n">
        <v>-204676.32</v>
      </c>
      <c r="I31" s="16" t="n">
        <v>0</v>
      </c>
      <c r="J31" s="15" t="n">
        <v>95000</v>
      </c>
      <c r="K31" s="15" t="n">
        <v>305936</v>
      </c>
      <c r="L31" s="15" t="n">
        <v>24443</v>
      </c>
      <c r="M31" s="15" t="n">
        <v>18000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&amp;CМ_ПЗ1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ПЗ2</t>
        </is>
      </c>
    </row>
    <row r="4"/>
    <row r="5" ht="30" customHeight="1">
      <c r="C5" s="2" t="inlineStr">
        <is>
          <t>операционная точка | Данные по листу «ПЗ2»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Февраль</t>
        </is>
      </c>
      <c r="E18" s="15" t="n">
        <v>131988.92</v>
      </c>
    </row>
    <row r="19">
      <c r="C19" s="14" t="inlineStr">
        <is>
          <t>Худший месяц</t>
        </is>
      </c>
      <c r="D19" s="13" t="n">
        <v>-93629.8</v>
      </c>
      <c r="E19" s="15" t="n">
        <v>-93629.8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0.3% против 4.6%. Ключевая нагрузка — Закупочная себестоимость 7,892,421; резерв к медиане — «Аренда» (313,645).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1626290</v>
      </c>
      <c r="E25" s="15" t="n">
        <v>1185365</v>
      </c>
      <c r="F25" s="15" t="n">
        <v>440925</v>
      </c>
      <c r="G25" s="16" t="n">
        <v>0</v>
      </c>
      <c r="H25" s="15" t="n">
        <v>85647.67999999998</v>
      </c>
      <c r="I25" s="16" t="n">
        <v>0</v>
      </c>
      <c r="J25" s="15" t="n">
        <v>100000</v>
      </c>
      <c r="K25" s="15" t="n">
        <v>114173.86</v>
      </c>
      <c r="L25" s="15" t="n">
        <v>8615</v>
      </c>
      <c r="M25" s="15" t="n">
        <v>16313</v>
      </c>
    </row>
    <row r="26">
      <c r="C26" s="13" t="inlineStr">
        <is>
          <t>Февраль</t>
        </is>
      </c>
      <c r="D26" s="15" t="n">
        <v>1765745</v>
      </c>
      <c r="E26" s="15" t="n">
        <v>1281030</v>
      </c>
      <c r="F26" s="15" t="n">
        <v>484715</v>
      </c>
      <c r="G26" s="16" t="n">
        <v>0</v>
      </c>
      <c r="H26" s="15" t="n">
        <v>131988.92</v>
      </c>
      <c r="I26" s="16" t="n">
        <v>0</v>
      </c>
      <c r="J26" s="15" t="n">
        <v>100000</v>
      </c>
      <c r="K26" s="15" t="n">
        <v>111700.86</v>
      </c>
      <c r="L26" s="15" t="n">
        <v>4964</v>
      </c>
      <c r="M26" s="15" t="n">
        <v>9513</v>
      </c>
    </row>
    <row r="27">
      <c r="C27" s="13" t="inlineStr">
        <is>
          <t>Март</t>
        </is>
      </c>
      <c r="D27" s="15" t="n">
        <v>1586859</v>
      </c>
      <c r="E27" s="15" t="n">
        <v>1155110</v>
      </c>
      <c r="F27" s="15" t="n">
        <v>431749</v>
      </c>
      <c r="G27" s="16" t="n">
        <v>0</v>
      </c>
      <c r="H27" s="15" t="n">
        <v>28883.97999999999</v>
      </c>
      <c r="I27" s="16" t="n">
        <v>0</v>
      </c>
      <c r="J27" s="15" t="n">
        <v>100000</v>
      </c>
      <c r="K27" s="15" t="n">
        <v>161516.44</v>
      </c>
      <c r="L27" s="15" t="n">
        <v>24444</v>
      </c>
      <c r="M27" s="15" t="n">
        <v>8902</v>
      </c>
    </row>
    <row r="28">
      <c r="C28" s="13" t="inlineStr">
        <is>
          <t>Апрель</t>
        </is>
      </c>
      <c r="D28" s="15" t="n">
        <v>1228685</v>
      </c>
      <c r="E28" s="15" t="n">
        <v>920429</v>
      </c>
      <c r="F28" s="15" t="n">
        <v>308256</v>
      </c>
      <c r="G28" s="16" t="n">
        <v>0</v>
      </c>
      <c r="H28" s="15" t="n">
        <v>-90595.94</v>
      </c>
      <c r="I28" s="16" t="n">
        <v>0</v>
      </c>
      <c r="J28" s="15" t="n">
        <v>100000</v>
      </c>
      <c r="K28" s="15" t="n">
        <v>157304.44</v>
      </c>
      <c r="L28" s="15" t="n">
        <v>21004</v>
      </c>
      <c r="M28" s="15" t="n">
        <v>14030</v>
      </c>
    </row>
    <row r="29">
      <c r="C29" s="13" t="inlineStr">
        <is>
          <t>Май</t>
        </is>
      </c>
      <c r="D29" s="15" t="n">
        <v>1190332</v>
      </c>
      <c r="E29" s="15" t="n">
        <v>891549</v>
      </c>
      <c r="F29" s="15" t="n">
        <v>298783</v>
      </c>
      <c r="G29" s="16" t="n">
        <v>0</v>
      </c>
      <c r="H29" s="15" t="n">
        <v>-93629.8</v>
      </c>
      <c r="I29" s="16" t="n">
        <v>0</v>
      </c>
      <c r="J29" s="15" t="n">
        <v>100000</v>
      </c>
      <c r="K29" s="15" t="n">
        <v>153616.36</v>
      </c>
      <c r="L29" s="15" t="n">
        <v>40380</v>
      </c>
      <c r="M29" s="15" t="n">
        <v>10538</v>
      </c>
    </row>
    <row r="30">
      <c r="C30" s="13" t="inlineStr">
        <is>
          <t>Июнь</t>
        </is>
      </c>
      <c r="D30" s="15" t="n">
        <v>1496572</v>
      </c>
      <c r="E30" s="15" t="n">
        <v>1128808</v>
      </c>
      <c r="F30" s="15" t="n">
        <v>367764</v>
      </c>
      <c r="G30" s="16" t="n">
        <v>0</v>
      </c>
      <c r="H30" s="15" t="n">
        <v>-29304.65999999999</v>
      </c>
      <c r="I30" s="16" t="n">
        <v>0</v>
      </c>
      <c r="J30" s="15" t="n">
        <v>100000</v>
      </c>
      <c r="K30" s="15" t="n">
        <v>141780.86</v>
      </c>
      <c r="L30" s="15" t="n">
        <v>8835</v>
      </c>
      <c r="M30" s="15" t="n">
        <v>14413</v>
      </c>
    </row>
    <row r="31">
      <c r="C31" s="13" t="inlineStr">
        <is>
          <t>Июль</t>
        </is>
      </c>
      <c r="D31" s="15" t="n">
        <v>1746157</v>
      </c>
      <c r="E31" s="15" t="n">
        <v>1330130</v>
      </c>
      <c r="F31" s="15" t="n">
        <v>416027</v>
      </c>
      <c r="G31" s="16" t="n">
        <v>0</v>
      </c>
      <c r="H31" s="15" t="n">
        <v>-6073.13999999999</v>
      </c>
      <c r="I31" s="16" t="n">
        <v>0</v>
      </c>
      <c r="J31" s="15" t="n">
        <v>100000</v>
      </c>
      <c r="K31" s="15" t="n">
        <v>150650.62</v>
      </c>
      <c r="L31" s="15" t="n">
        <v>16354</v>
      </c>
      <c r="M31" s="15" t="n">
        <v>17021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&amp;CМ_ПЗ2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ПОЛ</t>
        </is>
      </c>
    </row>
    <row r="4"/>
    <row r="5" ht="30" customHeight="1">
      <c r="C5" s="2" t="inlineStr">
        <is>
          <t>операционная точка | Данные по листу «ПОЛ»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405387.3</v>
      </c>
    </row>
    <row r="19">
      <c r="C19" s="14" t="inlineStr">
        <is>
          <t>Худший месяц</t>
        </is>
      </c>
      <c r="D19" s="13" t="n">
        <v>-32814.25999999997</v>
      </c>
      <c r="E19" s="15" t="n">
        <v>-32814.25999999997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9.0% против 4.6%. Результат поддержан валовой маржой 27.5%; крупнейшая контролируемая статья — Закупочная себестоимость 10,475,077.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2256137</v>
      </c>
      <c r="E25" s="15" t="n">
        <v>1630157</v>
      </c>
      <c r="F25" s="15" t="n">
        <v>625980</v>
      </c>
      <c r="G25" s="16" t="n">
        <v>0</v>
      </c>
      <c r="H25" s="15" t="n">
        <v>291927.26</v>
      </c>
      <c r="I25" s="16" t="n">
        <v>0</v>
      </c>
      <c r="J25" s="15" t="n">
        <v>51300</v>
      </c>
      <c r="K25" s="15" t="n">
        <v>106833.1</v>
      </c>
      <c r="L25" s="15" t="n">
        <v>19217</v>
      </c>
      <c r="M25" s="15" t="n">
        <v>17422</v>
      </c>
    </row>
    <row r="26">
      <c r="C26" s="13" t="inlineStr">
        <is>
          <t>Февраль</t>
        </is>
      </c>
      <c r="D26" s="15" t="n">
        <v>2071995</v>
      </c>
      <c r="E26" s="15" t="n">
        <v>1496731</v>
      </c>
      <c r="F26" s="15" t="n">
        <v>575264</v>
      </c>
      <c r="G26" s="16" t="n">
        <v>0</v>
      </c>
      <c r="H26" s="15" t="n">
        <v>214970.62</v>
      </c>
      <c r="I26" s="16" t="n">
        <v>0</v>
      </c>
      <c r="J26" s="15" t="n">
        <v>51300</v>
      </c>
      <c r="K26" s="15" t="n">
        <v>138402.7</v>
      </c>
      <c r="L26" s="15" t="n">
        <v>4471</v>
      </c>
      <c r="M26" s="15" t="n">
        <v>14035</v>
      </c>
    </row>
    <row r="27">
      <c r="C27" s="13" t="inlineStr">
        <is>
          <t>Март</t>
        </is>
      </c>
      <c r="D27" s="15" t="n">
        <v>2316916</v>
      </c>
      <c r="E27" s="15" t="n">
        <v>1511579</v>
      </c>
      <c r="F27" s="15" t="n">
        <v>805337</v>
      </c>
      <c r="G27" s="16" t="n">
        <v>0</v>
      </c>
      <c r="H27" s="15" t="n">
        <v>405387.3</v>
      </c>
      <c r="I27" s="16" t="n">
        <v>0</v>
      </c>
      <c r="J27" s="15" t="n">
        <v>51300</v>
      </c>
      <c r="K27" s="15" t="n">
        <v>149374.96</v>
      </c>
      <c r="L27" s="15" t="n">
        <v>34418</v>
      </c>
      <c r="M27" s="15" t="n">
        <v>10788</v>
      </c>
    </row>
    <row r="28">
      <c r="C28" s="13" t="inlineStr">
        <is>
          <t>Апрель</t>
        </is>
      </c>
      <c r="D28" s="15" t="n">
        <v>2159429</v>
      </c>
      <c r="E28" s="15" t="n">
        <v>1600118</v>
      </c>
      <c r="F28" s="15" t="n">
        <v>559311</v>
      </c>
      <c r="G28" s="16" t="n">
        <v>0</v>
      </c>
      <c r="H28" s="15" t="n">
        <v>168084.64</v>
      </c>
      <c r="I28" s="16" t="n">
        <v>0</v>
      </c>
      <c r="J28" s="15" t="n">
        <v>51300</v>
      </c>
      <c r="K28" s="15" t="n">
        <v>167674.24</v>
      </c>
      <c r="L28" s="15" t="n">
        <v>13734</v>
      </c>
      <c r="M28" s="15" t="n">
        <v>18323</v>
      </c>
    </row>
    <row r="29">
      <c r="C29" s="13" t="inlineStr">
        <is>
          <t>Май</t>
        </is>
      </c>
      <c r="D29" s="15" t="n">
        <v>1988896</v>
      </c>
      <c r="E29" s="15" t="n">
        <v>1477845</v>
      </c>
      <c r="F29" s="15" t="n">
        <v>511051</v>
      </c>
      <c r="G29" s="16" t="n">
        <v>0</v>
      </c>
      <c r="H29" s="15" t="n">
        <v>155336.08</v>
      </c>
      <c r="I29" s="16" t="n">
        <v>0</v>
      </c>
      <c r="J29" s="15" t="n">
        <v>51300</v>
      </c>
      <c r="K29" s="15" t="n">
        <v>150073.98</v>
      </c>
      <c r="L29" s="15" t="n">
        <v>92946</v>
      </c>
      <c r="M29" s="15" t="n">
        <v>13496</v>
      </c>
    </row>
    <row r="30">
      <c r="C30" s="13" t="inlineStr">
        <is>
          <t>Июнь</t>
        </is>
      </c>
      <c r="D30" s="15" t="n">
        <v>1667506</v>
      </c>
      <c r="E30" s="15" t="n">
        <v>1235171</v>
      </c>
      <c r="F30" s="15" t="n">
        <v>432335</v>
      </c>
      <c r="G30" s="16" t="n">
        <v>0</v>
      </c>
      <c r="H30" s="15" t="n">
        <v>103707.98</v>
      </c>
      <c r="I30" s="16" t="n">
        <v>0</v>
      </c>
      <c r="J30" s="15" t="n">
        <v>51300</v>
      </c>
      <c r="K30" s="15" t="n">
        <v>145417.64</v>
      </c>
      <c r="L30" s="15" t="n">
        <v>50693</v>
      </c>
      <c r="M30" s="15" t="n">
        <v>11629</v>
      </c>
    </row>
    <row r="31">
      <c r="C31" s="13" t="inlineStr">
        <is>
          <t>Июль</t>
        </is>
      </c>
      <c r="D31" s="15" t="n">
        <v>1995646</v>
      </c>
      <c r="E31" s="15" t="n">
        <v>1523476</v>
      </c>
      <c r="F31" s="15" t="n">
        <v>472170</v>
      </c>
      <c r="G31" s="16" t="n">
        <v>0</v>
      </c>
      <c r="H31" s="15" t="n">
        <v>-32814.25999999997</v>
      </c>
      <c r="I31" s="16" t="n">
        <v>0</v>
      </c>
      <c r="J31" s="15" t="n">
        <v>51300</v>
      </c>
      <c r="K31" s="15" t="n">
        <v>293640.32</v>
      </c>
      <c r="L31" s="15" t="n">
        <v>53144</v>
      </c>
      <c r="M31" s="15" t="n">
        <v>22292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&amp;CМ_ПОЛ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ПОРТ</t>
        </is>
      </c>
    </row>
    <row r="4"/>
    <row r="5" ht="30" customHeight="1">
      <c r="C5" s="2" t="inlineStr">
        <is>
          <t>операционная точка | Данные по листу «ПОРТ»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Июль</t>
        </is>
      </c>
      <c r="E18" s="15" t="n">
        <v>1706633.46</v>
      </c>
    </row>
    <row r="19">
      <c r="C19" s="14" t="inlineStr">
        <is>
          <t>Худший месяц</t>
        </is>
      </c>
      <c r="D19" s="13" t="n">
        <v>760296.26</v>
      </c>
      <c r="E19" s="15" t="n">
        <v>760296.26</v>
      </c>
    </row>
    <row r="20" ht="36" customHeight="1">
      <c r="C20" s="14" t="inlineStr">
        <is>
          <t>Главный фактор</t>
        </is>
      </c>
      <c r="D20" s="22" t="inlineStr">
        <is>
          <t>Маржа выше сети: 8.5% против 4.6%. Результат поддержан валовой маржой 22.2%; крупнейшая контролируемая статья — Закупочная себестоимость 68,331,804.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9486006</v>
      </c>
      <c r="E25" s="15" t="n">
        <v>7300402</v>
      </c>
      <c r="F25" s="15" t="n">
        <v>2185604</v>
      </c>
      <c r="G25" s="16" t="n">
        <v>0</v>
      </c>
      <c r="H25" s="15" t="n">
        <v>760296.26</v>
      </c>
      <c r="I25" s="16" t="n">
        <v>0</v>
      </c>
      <c r="J25" s="15" t="n">
        <v>71400</v>
      </c>
      <c r="K25" s="15" t="n">
        <v>692042</v>
      </c>
      <c r="L25" s="15" t="n">
        <v>98190</v>
      </c>
      <c r="M25" s="15" t="n">
        <v>69000</v>
      </c>
    </row>
    <row r="26">
      <c r="C26" s="13" t="inlineStr">
        <is>
          <t>Февраль</t>
        </is>
      </c>
      <c r="D26" s="15" t="n">
        <v>10075140</v>
      </c>
      <c r="E26" s="15" t="n">
        <v>7765683</v>
      </c>
      <c r="F26" s="15" t="n">
        <v>2309457</v>
      </c>
      <c r="G26" s="16" t="n">
        <v>0</v>
      </c>
      <c r="H26" s="15" t="n">
        <v>929654.3199999999</v>
      </c>
      <c r="I26" s="16" t="n">
        <v>0</v>
      </c>
      <c r="J26" s="15" t="n">
        <v>71400</v>
      </c>
      <c r="K26" s="15" t="n">
        <v>677326.6</v>
      </c>
      <c r="L26" s="15" t="n">
        <v>109187</v>
      </c>
      <c r="M26" s="15" t="n">
        <v>54550</v>
      </c>
    </row>
    <row r="27">
      <c r="C27" s="13" t="inlineStr">
        <is>
          <t>Март</t>
        </is>
      </c>
      <c r="D27" s="15" t="n">
        <v>11572052</v>
      </c>
      <c r="E27" s="15" t="n">
        <v>9000150</v>
      </c>
      <c r="F27" s="15" t="n">
        <v>2571902</v>
      </c>
      <c r="G27" s="16" t="n">
        <v>0</v>
      </c>
      <c r="H27" s="15" t="n">
        <v>994848.62</v>
      </c>
      <c r="I27" s="16" t="n">
        <v>0</v>
      </c>
      <c r="J27" s="15" t="n">
        <v>71400</v>
      </c>
      <c r="K27" s="15" t="n">
        <v>767138</v>
      </c>
      <c r="L27" s="15" t="n">
        <v>101169</v>
      </c>
      <c r="M27" s="15" t="n">
        <v>54500</v>
      </c>
    </row>
    <row r="28">
      <c r="C28" s="13" t="inlineStr">
        <is>
          <t>Апрель</t>
        </is>
      </c>
      <c r="D28" s="15" t="n">
        <v>12294670</v>
      </c>
      <c r="E28" s="15" t="n">
        <v>9647666</v>
      </c>
      <c r="F28" s="15" t="n">
        <v>2647004</v>
      </c>
      <c r="G28" s="16" t="n">
        <v>0</v>
      </c>
      <c r="H28" s="15" t="n">
        <v>981347.74</v>
      </c>
      <c r="I28" s="16" t="n">
        <v>0</v>
      </c>
      <c r="J28" s="15" t="n">
        <v>71400</v>
      </c>
      <c r="K28" s="15" t="n">
        <v>844783.72</v>
      </c>
      <c r="L28" s="15" t="n">
        <v>84786</v>
      </c>
      <c r="M28" s="15" t="n">
        <v>75900</v>
      </c>
    </row>
    <row r="29">
      <c r="C29" s="13" t="inlineStr">
        <is>
          <t>Май</t>
        </is>
      </c>
      <c r="D29" s="15" t="n">
        <v>11895063</v>
      </c>
      <c r="E29" s="15" t="n">
        <v>9228885</v>
      </c>
      <c r="F29" s="15" t="n">
        <v>2666178</v>
      </c>
      <c r="G29" s="16" t="n">
        <v>0</v>
      </c>
      <c r="H29" s="15" t="n">
        <v>800294.8200000001</v>
      </c>
      <c r="I29" s="16" t="n">
        <v>0</v>
      </c>
      <c r="J29" s="15" t="n">
        <v>71400</v>
      </c>
      <c r="K29" s="15" t="n">
        <v>1041237</v>
      </c>
      <c r="L29" s="15" t="n">
        <v>104950</v>
      </c>
      <c r="M29" s="15" t="n">
        <v>74250</v>
      </c>
    </row>
    <row r="30">
      <c r="C30" s="13" t="inlineStr">
        <is>
          <t>Июнь</t>
        </is>
      </c>
      <c r="D30" s="15" t="n">
        <v>15551807</v>
      </c>
      <c r="E30" s="15" t="n">
        <v>12060208</v>
      </c>
      <c r="F30" s="15" t="n">
        <v>3491599</v>
      </c>
      <c r="G30" s="16" t="n">
        <v>0</v>
      </c>
      <c r="H30" s="15" t="n">
        <v>1335752.48</v>
      </c>
      <c r="I30" s="16" t="n">
        <v>0</v>
      </c>
      <c r="J30" s="15" t="n">
        <v>71400</v>
      </c>
      <c r="K30" s="15" t="n">
        <v>1165398.2</v>
      </c>
      <c r="L30" s="15" t="n">
        <v>223589</v>
      </c>
      <c r="M30" s="15" t="n">
        <v>64090</v>
      </c>
    </row>
    <row r="31">
      <c r="C31" s="13" t="inlineStr">
        <is>
          <t>Июль</t>
        </is>
      </c>
      <c r="D31" s="15" t="n">
        <v>16950243</v>
      </c>
      <c r="E31" s="15" t="n">
        <v>13328810</v>
      </c>
      <c r="F31" s="15" t="n">
        <v>3621433</v>
      </c>
      <c r="G31" s="16" t="n">
        <v>0</v>
      </c>
      <c r="H31" s="15" t="n">
        <v>1706633.46</v>
      </c>
      <c r="I31" s="16" t="n">
        <v>0</v>
      </c>
      <c r="J31" s="15" t="n">
        <v>71400</v>
      </c>
      <c r="K31" s="15" t="n">
        <v>931560.6</v>
      </c>
      <c r="L31" s="15" t="n">
        <v>150886</v>
      </c>
      <c r="M31" s="15" t="n">
        <v>75880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&amp;CМ_ПОРТ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1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РОС</t>
        </is>
      </c>
    </row>
    <row r="4"/>
    <row r="5" ht="30" customHeight="1">
      <c r="C5" s="2" t="inlineStr">
        <is>
          <t>операционная точка | Данные по листу «РОС»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83875.15999999999</v>
      </c>
    </row>
    <row r="19">
      <c r="C19" s="14" t="inlineStr">
        <is>
          <t>Худший месяц</t>
        </is>
      </c>
      <c r="D19" s="13" t="n">
        <v>-172192.7</v>
      </c>
      <c r="E19" s="15" t="n">
        <v>-172192.7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-1.3%, убыток 117,424. Крупнейшая контролируемая нагрузка — Закупочная себестоимость 6,690,069; наибольший избыток к медиане — «Коммунальные платежи за наличные» (252,343).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1221718</v>
      </c>
      <c r="E25" s="15" t="n">
        <v>889018</v>
      </c>
      <c r="F25" s="15" t="n">
        <v>332700</v>
      </c>
      <c r="G25" s="16" t="n">
        <v>0</v>
      </c>
      <c r="H25" s="15" t="n">
        <v>30297.06</v>
      </c>
      <c r="I25" s="16" t="n">
        <v>0</v>
      </c>
      <c r="J25" s="15" t="n">
        <v>50000</v>
      </c>
      <c r="K25" s="15" t="n">
        <v>101465</v>
      </c>
      <c r="L25" s="15" t="n">
        <v>20607</v>
      </c>
      <c r="M25" s="15" t="n">
        <v>14000</v>
      </c>
    </row>
    <row r="26">
      <c r="C26" s="13" t="inlineStr">
        <is>
          <t>Февраль</t>
        </is>
      </c>
      <c r="D26" s="15" t="n">
        <v>1531933</v>
      </c>
      <c r="E26" s="15" t="n">
        <v>1105120</v>
      </c>
      <c r="F26" s="15" t="n">
        <v>426813</v>
      </c>
      <c r="G26" s="16" t="n">
        <v>0</v>
      </c>
      <c r="H26" s="15" t="n">
        <v>60988.84000000002</v>
      </c>
      <c r="I26" s="16" t="n">
        <v>0</v>
      </c>
      <c r="J26" s="15" t="n">
        <v>50000</v>
      </c>
      <c r="K26" s="15" t="n">
        <v>127643.96</v>
      </c>
      <c r="L26" s="15" t="n">
        <v>40864</v>
      </c>
      <c r="M26" s="15" t="n">
        <v>12268</v>
      </c>
    </row>
    <row r="27">
      <c r="C27" s="13" t="inlineStr">
        <is>
          <t>Март</t>
        </is>
      </c>
      <c r="D27" s="15" t="n">
        <v>1530732</v>
      </c>
      <c r="E27" s="15" t="n">
        <v>1100225</v>
      </c>
      <c r="F27" s="15" t="n">
        <v>430507</v>
      </c>
      <c r="G27" s="16" t="n">
        <v>0</v>
      </c>
      <c r="H27" s="15" t="n">
        <v>83875.15999999999</v>
      </c>
      <c r="I27" s="16" t="n">
        <v>0</v>
      </c>
      <c r="J27" s="15" t="n">
        <v>50000</v>
      </c>
      <c r="K27" s="15" t="n">
        <v>149523.86</v>
      </c>
      <c r="L27" s="15" t="n">
        <v>12751</v>
      </c>
      <c r="M27" s="15" t="n">
        <v>11000</v>
      </c>
    </row>
    <row r="28">
      <c r="C28" s="13" t="inlineStr">
        <is>
          <t>Апрель</t>
        </is>
      </c>
      <c r="D28" s="15" t="n">
        <v>1339080</v>
      </c>
      <c r="E28" s="15" t="n">
        <v>982441</v>
      </c>
      <c r="F28" s="15" t="n">
        <v>356639</v>
      </c>
      <c r="G28" s="16" t="n">
        <v>0</v>
      </c>
      <c r="H28" s="15" t="n">
        <v>-28346.84</v>
      </c>
      <c r="I28" s="16" t="n">
        <v>0</v>
      </c>
      <c r="J28" s="15" t="n">
        <v>50000</v>
      </c>
      <c r="K28" s="15" t="n">
        <v>147336.38</v>
      </c>
      <c r="L28" s="15" t="n">
        <v>36000</v>
      </c>
      <c r="M28" s="15" t="n">
        <v>14786</v>
      </c>
    </row>
    <row r="29">
      <c r="C29" s="13" t="inlineStr">
        <is>
          <t>Май</t>
        </is>
      </c>
      <c r="D29" s="15" t="n">
        <v>1272100</v>
      </c>
      <c r="E29" s="15" t="n">
        <v>942284</v>
      </c>
      <c r="F29" s="15" t="n">
        <v>329816</v>
      </c>
      <c r="G29" s="16" t="n">
        <v>0</v>
      </c>
      <c r="H29" s="15" t="n">
        <v>-172192.7</v>
      </c>
      <c r="I29" s="16" t="n">
        <v>0</v>
      </c>
      <c r="J29" s="15" t="n">
        <v>50000</v>
      </c>
      <c r="K29" s="15" t="n">
        <v>306464.1</v>
      </c>
      <c r="L29" s="15" t="n">
        <v>27179</v>
      </c>
      <c r="M29" s="15" t="n">
        <v>9725</v>
      </c>
    </row>
    <row r="30">
      <c r="C30" s="13" t="inlineStr">
        <is>
          <t>Июнь</t>
        </is>
      </c>
      <c r="D30" s="15" t="n">
        <v>1192623</v>
      </c>
      <c r="E30" s="15" t="n">
        <v>873086</v>
      </c>
      <c r="F30" s="15" t="n">
        <v>319537</v>
      </c>
      <c r="G30" s="16" t="n">
        <v>0</v>
      </c>
      <c r="H30" s="15" t="n">
        <v>-2228.219999999994</v>
      </c>
      <c r="I30" s="16" t="n">
        <v>0</v>
      </c>
      <c r="J30" s="15" t="n">
        <v>50000</v>
      </c>
      <c r="K30" s="15" t="n">
        <v>119126.9</v>
      </c>
      <c r="L30" s="15" t="n">
        <v>45941</v>
      </c>
      <c r="M30" s="15" t="n">
        <v>24130</v>
      </c>
    </row>
    <row r="31">
      <c r="C31" s="13" t="inlineStr">
        <is>
          <t>Июль</t>
        </is>
      </c>
      <c r="D31" s="15" t="n">
        <v>1051200</v>
      </c>
      <c r="E31" s="15" t="n">
        <v>797895</v>
      </c>
      <c r="F31" s="15" t="n">
        <v>253305</v>
      </c>
      <c r="G31" s="16" t="n">
        <v>0</v>
      </c>
      <c r="H31" s="15" t="n">
        <v>-89817.7</v>
      </c>
      <c r="I31" s="16" t="n">
        <v>0</v>
      </c>
      <c r="J31" s="15" t="n">
        <v>50000</v>
      </c>
      <c r="K31" s="15" t="n">
        <v>151843.86</v>
      </c>
      <c r="L31" s="15" t="n">
        <v>33283</v>
      </c>
      <c r="M31" s="15" t="n">
        <v>21430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&amp;CМ_РОС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С1</t>
        </is>
      </c>
    </row>
    <row r="4"/>
    <row r="5" ht="30" customHeight="1">
      <c r="C5" s="2" t="inlineStr">
        <is>
          <t>операционная точка | Данные по листу «С1»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Июнь</t>
        </is>
      </c>
      <c r="E18" s="15" t="n">
        <v>242940.48</v>
      </c>
    </row>
    <row r="19">
      <c r="C19" s="14" t="inlineStr">
        <is>
          <t>Худший месяц</t>
        </is>
      </c>
      <c r="D19" s="13" t="n">
        <v>37805.14</v>
      </c>
      <c r="E19" s="15" t="n">
        <v>37805.14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4.2% против 4.6%. Ключевая нагрузка — Закупочная себестоимость 16,321,833; резерв к медиане — «Списания» (203,205).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2524005</v>
      </c>
      <c r="E25" s="15" t="n">
        <v>1871148</v>
      </c>
      <c r="F25" s="15" t="n">
        <v>652857</v>
      </c>
      <c r="G25" s="16" t="n">
        <v>0</v>
      </c>
      <c r="H25" s="15" t="n">
        <v>102755.38</v>
      </c>
      <c r="I25" s="16" t="n">
        <v>0</v>
      </c>
      <c r="J25" s="15" t="n">
        <v>95000</v>
      </c>
      <c r="K25" s="15" t="n">
        <v>215465.4</v>
      </c>
      <c r="L25" s="15" t="n">
        <v>79588</v>
      </c>
      <c r="M25" s="15" t="n">
        <v>49020</v>
      </c>
    </row>
    <row r="26">
      <c r="C26" s="13" t="inlineStr">
        <is>
          <t>Февраль</t>
        </is>
      </c>
      <c r="D26" s="15" t="n">
        <v>3158227</v>
      </c>
      <c r="E26" s="15" t="n">
        <v>2341688</v>
      </c>
      <c r="F26" s="15" t="n">
        <v>816539</v>
      </c>
      <c r="G26" s="16" t="n">
        <v>0</v>
      </c>
      <c r="H26" s="15" t="n">
        <v>175445.7</v>
      </c>
      <c r="I26" s="16" t="n">
        <v>0</v>
      </c>
      <c r="J26" s="15" t="n">
        <v>95000</v>
      </c>
      <c r="K26" s="15" t="n">
        <v>289034.72</v>
      </c>
      <c r="L26" s="15" t="n">
        <v>28682</v>
      </c>
      <c r="M26" s="15" t="n">
        <v>35526</v>
      </c>
    </row>
    <row r="27">
      <c r="C27" s="13" t="inlineStr">
        <is>
          <t>Март</t>
        </is>
      </c>
      <c r="D27" s="15" t="n">
        <v>3105828</v>
      </c>
      <c r="E27" s="15" t="n">
        <v>2265067</v>
      </c>
      <c r="F27" s="15" t="n">
        <v>840761</v>
      </c>
      <c r="G27" s="16" t="n">
        <v>0</v>
      </c>
      <c r="H27" s="15" t="n">
        <v>149420.86</v>
      </c>
      <c r="I27" s="16" t="n">
        <v>0</v>
      </c>
      <c r="J27" s="15" t="n">
        <v>95000</v>
      </c>
      <c r="K27" s="15" t="n">
        <v>332456.9</v>
      </c>
      <c r="L27" s="15" t="n">
        <v>77921</v>
      </c>
      <c r="M27" s="15" t="n">
        <v>37295</v>
      </c>
    </row>
    <row r="28">
      <c r="C28" s="13" t="inlineStr">
        <is>
          <t>Апрель</t>
        </is>
      </c>
      <c r="D28" s="15" t="n">
        <v>2964208</v>
      </c>
      <c r="E28" s="15" t="n">
        <v>2228953</v>
      </c>
      <c r="F28" s="15" t="n">
        <v>735255</v>
      </c>
      <c r="G28" s="16" t="n">
        <v>0</v>
      </c>
      <c r="H28" s="15" t="n">
        <v>89628.00000000003</v>
      </c>
      <c r="I28" s="16" t="n">
        <v>0</v>
      </c>
      <c r="J28" s="15" t="n">
        <v>95000</v>
      </c>
      <c r="K28" s="15" t="n">
        <v>296772.84</v>
      </c>
      <c r="L28" s="15" t="n">
        <v>56798</v>
      </c>
      <c r="M28" s="15" t="n">
        <v>50172</v>
      </c>
    </row>
    <row r="29">
      <c r="C29" s="13" t="inlineStr">
        <is>
          <t>Май</t>
        </is>
      </c>
      <c r="D29" s="15" t="n">
        <v>3414673</v>
      </c>
      <c r="E29" s="15" t="n">
        <v>2562236</v>
      </c>
      <c r="F29" s="15" t="n">
        <v>852437</v>
      </c>
      <c r="G29" s="16" t="n">
        <v>0</v>
      </c>
      <c r="H29" s="15" t="n">
        <v>118743.88</v>
      </c>
      <c r="I29" s="16" t="n">
        <v>0</v>
      </c>
      <c r="J29" s="15" t="n">
        <v>95000</v>
      </c>
      <c r="K29" s="15" t="n">
        <v>376421.2</v>
      </c>
      <c r="L29" s="15" t="n">
        <v>64578</v>
      </c>
      <c r="M29" s="15" t="n">
        <v>41910</v>
      </c>
    </row>
    <row r="30">
      <c r="C30" s="13" t="inlineStr">
        <is>
          <t>Июнь</t>
        </is>
      </c>
      <c r="D30" s="15" t="n">
        <v>3449321</v>
      </c>
      <c r="E30" s="15" t="n">
        <v>2590187</v>
      </c>
      <c r="F30" s="15" t="n">
        <v>859134</v>
      </c>
      <c r="G30" s="16" t="n">
        <v>0</v>
      </c>
      <c r="H30" s="15" t="n">
        <v>242940.48</v>
      </c>
      <c r="I30" s="16" t="n">
        <v>0</v>
      </c>
      <c r="J30" s="15" t="n">
        <v>95000</v>
      </c>
      <c r="K30" s="15" t="n">
        <v>258158.26</v>
      </c>
      <c r="L30" s="15" t="n">
        <v>89607</v>
      </c>
      <c r="M30" s="15" t="n">
        <v>41883</v>
      </c>
    </row>
    <row r="31">
      <c r="C31" s="13" t="inlineStr">
        <is>
          <t>Июль</t>
        </is>
      </c>
      <c r="D31" s="15" t="n">
        <v>3212296</v>
      </c>
      <c r="E31" s="15" t="n">
        <v>2462554</v>
      </c>
      <c r="F31" s="15" t="n">
        <v>749742</v>
      </c>
      <c r="G31" s="16" t="n">
        <v>0</v>
      </c>
      <c r="H31" s="15" t="n">
        <v>37805.14</v>
      </c>
      <c r="I31" s="16" t="n">
        <v>0</v>
      </c>
      <c r="J31" s="15" t="n">
        <v>95000</v>
      </c>
      <c r="K31" s="15" t="n">
        <v>348851.86</v>
      </c>
      <c r="L31" s="15" t="n">
        <v>64613</v>
      </c>
      <c r="M31" s="15" t="n">
        <v>61313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&amp;CМ_С1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1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С3</t>
        </is>
      </c>
    </row>
    <row r="4"/>
    <row r="5" ht="30" customHeight="1">
      <c r="C5" s="2" t="inlineStr">
        <is>
          <t>операционная точка | Данные по листу «С3»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Март</t>
        </is>
      </c>
      <c r="E18" s="15" t="n">
        <v>4929.5</v>
      </c>
    </row>
    <row r="19">
      <c r="C19" s="14" t="inlineStr">
        <is>
          <t>Худший месяц</t>
        </is>
      </c>
      <c r="D19" s="13" t="n">
        <v>-195133.06</v>
      </c>
      <c r="E19" s="15" t="n">
        <v>-195133.06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-6.7%, убыток 480,993. Крупнейшая контролируемая нагрузка — Закупочная себестоимость 5,334,958; наибольший избыток к медиане — «ФОТ и налоги на персонал» (491,417).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843672</v>
      </c>
      <c r="E25" s="15" t="n">
        <v>627331</v>
      </c>
      <c r="F25" s="15" t="n">
        <v>216341</v>
      </c>
      <c r="G25" s="16" t="n">
        <v>0</v>
      </c>
      <c r="H25" s="15" t="n">
        <v>-41917.59999999999</v>
      </c>
      <c r="I25" s="16" t="n">
        <v>0</v>
      </c>
      <c r="J25" s="15" t="n">
        <v>34000</v>
      </c>
      <c r="K25" s="15" t="n">
        <v>108643</v>
      </c>
      <c r="L25" s="15" t="n">
        <v>2858</v>
      </c>
      <c r="M25" s="15" t="n">
        <v>25000</v>
      </c>
    </row>
    <row r="26">
      <c r="C26" s="13" t="inlineStr">
        <is>
          <t>Февраль</t>
        </is>
      </c>
      <c r="D26" s="15" t="n">
        <v>1271932</v>
      </c>
      <c r="E26" s="15" t="n">
        <v>922931</v>
      </c>
      <c r="F26" s="15" t="n">
        <v>349001</v>
      </c>
      <c r="G26" s="16" t="n">
        <v>0</v>
      </c>
      <c r="H26" s="15" t="n">
        <v>-92682.56000000004</v>
      </c>
      <c r="I26" s="16" t="n">
        <v>0</v>
      </c>
      <c r="J26" s="15" t="n">
        <v>34000</v>
      </c>
      <c r="K26" s="15" t="n">
        <v>275828.04</v>
      </c>
      <c r="L26" s="15" t="n">
        <v>1840</v>
      </c>
      <c r="M26" s="15" t="n">
        <v>20132</v>
      </c>
    </row>
    <row r="27">
      <c r="C27" s="13" t="inlineStr">
        <is>
          <t>Март</t>
        </is>
      </c>
      <c r="D27" s="15" t="n">
        <v>1124776</v>
      </c>
      <c r="E27" s="15" t="n">
        <v>824423</v>
      </c>
      <c r="F27" s="15" t="n">
        <v>300353</v>
      </c>
      <c r="G27" s="16" t="n">
        <v>0</v>
      </c>
      <c r="H27" s="15" t="n">
        <v>4929.5</v>
      </c>
      <c r="I27" s="16" t="n">
        <v>0</v>
      </c>
      <c r="J27" s="15" t="n">
        <v>34000</v>
      </c>
      <c r="K27" s="15" t="n">
        <v>136550</v>
      </c>
      <c r="L27" s="15" t="n">
        <v>0</v>
      </c>
      <c r="M27" s="15" t="n">
        <v>19000</v>
      </c>
    </row>
    <row r="28">
      <c r="C28" s="13" t="inlineStr">
        <is>
          <t>Апрель</t>
        </is>
      </c>
      <c r="D28" s="15" t="n">
        <v>956997</v>
      </c>
      <c r="E28" s="15" t="n">
        <v>714600</v>
      </c>
      <c r="F28" s="15" t="n">
        <v>242397</v>
      </c>
      <c r="G28" s="16" t="n">
        <v>0</v>
      </c>
      <c r="H28" s="15" t="n">
        <v>-67057.56</v>
      </c>
      <c r="I28" s="16" t="n">
        <v>0</v>
      </c>
      <c r="J28" s="15" t="n">
        <v>34000</v>
      </c>
      <c r="K28" s="15" t="n">
        <v>155379.48</v>
      </c>
      <c r="L28" s="15" t="n">
        <v>2366</v>
      </c>
      <c r="M28" s="15" t="n">
        <v>27384</v>
      </c>
    </row>
    <row r="29">
      <c r="C29" s="13" t="inlineStr">
        <is>
          <t>Май</t>
        </is>
      </c>
      <c r="D29" s="15" t="n">
        <v>1029517</v>
      </c>
      <c r="E29" s="15" t="n">
        <v>765594</v>
      </c>
      <c r="F29" s="15" t="n">
        <v>263923</v>
      </c>
      <c r="G29" s="16" t="n">
        <v>0</v>
      </c>
      <c r="H29" s="15" t="n">
        <v>-21623.25999999999</v>
      </c>
      <c r="I29" s="16" t="n">
        <v>0</v>
      </c>
      <c r="J29" s="15" t="n">
        <v>34000</v>
      </c>
      <c r="K29" s="15" t="n">
        <v>139554</v>
      </c>
      <c r="L29" s="15" t="n">
        <v>0</v>
      </c>
      <c r="M29" s="15" t="n">
        <v>19000</v>
      </c>
    </row>
    <row r="30">
      <c r="C30" s="13" t="inlineStr">
        <is>
          <t>Июнь</t>
        </is>
      </c>
      <c r="D30" s="15" t="n">
        <v>924386</v>
      </c>
      <c r="E30" s="15" t="n">
        <v>694892</v>
      </c>
      <c r="F30" s="15" t="n">
        <v>229494</v>
      </c>
      <c r="G30" s="16" t="n">
        <v>0</v>
      </c>
      <c r="H30" s="15" t="n">
        <v>-67508.88</v>
      </c>
      <c r="I30" s="16" t="n">
        <v>0</v>
      </c>
      <c r="J30" s="15" t="n">
        <v>34000</v>
      </c>
      <c r="K30" s="15" t="n">
        <v>147993</v>
      </c>
      <c r="L30" s="15" t="n">
        <v>0</v>
      </c>
      <c r="M30" s="15" t="n">
        <v>23435</v>
      </c>
    </row>
    <row r="31">
      <c r="C31" s="13" t="inlineStr">
        <is>
          <t>Июль</t>
        </is>
      </c>
      <c r="D31" s="15" t="n">
        <v>1023442</v>
      </c>
      <c r="E31" s="15" t="n">
        <v>785187</v>
      </c>
      <c r="F31" s="15" t="n">
        <v>238255</v>
      </c>
      <c r="G31" s="16" t="n">
        <v>0</v>
      </c>
      <c r="H31" s="15" t="n">
        <v>-195133.06</v>
      </c>
      <c r="I31" s="16" t="n">
        <v>0</v>
      </c>
      <c r="J31" s="15" t="n">
        <v>34000</v>
      </c>
      <c r="K31" s="15" t="n">
        <v>268994.42</v>
      </c>
      <c r="L31" s="15" t="n">
        <v>1036</v>
      </c>
      <c r="M31" s="15" t="n">
        <v>38111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&amp;CМ_С3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20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СНЕЖ</t>
        </is>
      </c>
    </row>
    <row r="4"/>
    <row r="5" ht="30" customHeight="1">
      <c r="C5" s="2" t="inlineStr">
        <is>
          <t>операционная точка | Данные по листу «СНЕЖ»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Январь</t>
        </is>
      </c>
      <c r="E18" s="15" t="n">
        <v>199366.72</v>
      </c>
    </row>
    <row r="19">
      <c r="C19" s="14" t="inlineStr">
        <is>
          <t>Худший месяц</t>
        </is>
      </c>
      <c r="D19" s="13" t="n">
        <v>-109623.62</v>
      </c>
      <c r="E19" s="15" t="n">
        <v>-109623.62</v>
      </c>
    </row>
    <row r="20" ht="36" customHeight="1">
      <c r="C20" s="14" t="inlineStr">
        <is>
          <t>Главный фактор</t>
        </is>
      </c>
      <c r="D20" s="22" t="inlineStr">
        <is>
          <t>Доходность ниже сети: 4.1% против 4.6%. Ключевая нагрузка — Закупочная себестоимость 7,893,256; резерв к медиане — «ФОТ и налоги на персонал» (68,753).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1784593</v>
      </c>
      <c r="E25" s="15" t="n">
        <v>1283337</v>
      </c>
      <c r="F25" s="15" t="n">
        <v>501256</v>
      </c>
      <c r="G25" s="16" t="n">
        <v>0</v>
      </c>
      <c r="H25" s="15" t="n">
        <v>199366.72</v>
      </c>
      <c r="I25" s="16" t="n">
        <v>0</v>
      </c>
      <c r="J25" s="15" t="n">
        <v>5000</v>
      </c>
      <c r="K25" s="15" t="n">
        <v>113500.54</v>
      </c>
      <c r="L25" s="15" t="n">
        <v>15562</v>
      </c>
      <c r="M25" s="15" t="n">
        <v>18557</v>
      </c>
    </row>
    <row r="26">
      <c r="C26" s="13" t="inlineStr">
        <is>
          <t>Февраль</t>
        </is>
      </c>
      <c r="D26" s="15" t="n">
        <v>1728674</v>
      </c>
      <c r="E26" s="15" t="n">
        <v>1240888</v>
      </c>
      <c r="F26" s="15" t="n">
        <v>487786</v>
      </c>
      <c r="G26" s="16" t="n">
        <v>0</v>
      </c>
      <c r="H26" s="15" t="n">
        <v>142834</v>
      </c>
      <c r="I26" s="16" t="n">
        <v>0</v>
      </c>
      <c r="J26" s="15" t="n">
        <v>5000</v>
      </c>
      <c r="K26" s="15" t="n">
        <v>160542.22</v>
      </c>
      <c r="L26" s="15" t="n">
        <v>15741</v>
      </c>
      <c r="M26" s="15" t="n">
        <v>12001</v>
      </c>
    </row>
    <row r="27">
      <c r="C27" s="13" t="inlineStr">
        <is>
          <t>Март</t>
        </is>
      </c>
      <c r="D27" s="15" t="n">
        <v>1668886</v>
      </c>
      <c r="E27" s="15" t="n">
        <v>1215772</v>
      </c>
      <c r="F27" s="15" t="n">
        <v>453114</v>
      </c>
      <c r="G27" s="16" t="n">
        <v>0</v>
      </c>
      <c r="H27" s="15" t="n">
        <v>103979.2</v>
      </c>
      <c r="I27" s="16" t="n">
        <v>0</v>
      </c>
      <c r="J27" s="15" t="n">
        <v>5000</v>
      </c>
      <c r="K27" s="15" t="n">
        <v>164488.46</v>
      </c>
      <c r="L27" s="15" t="n">
        <v>4100</v>
      </c>
      <c r="M27" s="15" t="n">
        <v>11830</v>
      </c>
    </row>
    <row r="28">
      <c r="C28" s="13" t="inlineStr">
        <is>
          <t>Апрель</t>
        </is>
      </c>
      <c r="D28" s="15" t="n">
        <v>1544270</v>
      </c>
      <c r="E28" s="15" t="n">
        <v>1155081</v>
      </c>
      <c r="F28" s="15" t="n">
        <v>389189</v>
      </c>
      <c r="G28" s="16" t="n">
        <v>0</v>
      </c>
      <c r="H28" s="15" t="n">
        <v>40920.12000000002</v>
      </c>
      <c r="I28" s="16" t="n">
        <v>0</v>
      </c>
      <c r="J28" s="15" t="n">
        <v>5000</v>
      </c>
      <c r="K28" s="15" t="n">
        <v>161901.52</v>
      </c>
      <c r="L28" s="15" t="n">
        <v>12578</v>
      </c>
      <c r="M28" s="15" t="n">
        <v>18166</v>
      </c>
    </row>
    <row r="29">
      <c r="C29" s="13" t="inlineStr">
        <is>
          <t>Май</t>
        </is>
      </c>
      <c r="D29" s="15" t="n">
        <v>1328989</v>
      </c>
      <c r="E29" s="15" t="n">
        <v>989076</v>
      </c>
      <c r="F29" s="15" t="n">
        <v>339913</v>
      </c>
      <c r="G29" s="16" t="n">
        <v>0</v>
      </c>
      <c r="H29" s="15" t="n">
        <v>-109623.62</v>
      </c>
      <c r="I29" s="16" t="n">
        <v>0</v>
      </c>
      <c r="J29" s="15" t="n">
        <v>5000</v>
      </c>
      <c r="K29" s="15" t="n">
        <v>299178</v>
      </c>
      <c r="L29" s="15" t="n">
        <v>12809</v>
      </c>
      <c r="M29" s="15" t="n">
        <v>12150</v>
      </c>
    </row>
    <row r="30">
      <c r="C30" s="13" t="inlineStr">
        <is>
          <t>Июнь</t>
        </is>
      </c>
      <c r="D30" s="15" t="n">
        <v>1414466</v>
      </c>
      <c r="E30" s="15" t="n">
        <v>1057628</v>
      </c>
      <c r="F30" s="15" t="n">
        <v>356838</v>
      </c>
      <c r="G30" s="16" t="n">
        <v>0</v>
      </c>
      <c r="H30" s="15" t="n">
        <v>54307.78</v>
      </c>
      <c r="I30" s="16" t="n">
        <v>0</v>
      </c>
      <c r="J30" s="15" t="n">
        <v>5000</v>
      </c>
      <c r="K30" s="15" t="n">
        <v>146047</v>
      </c>
      <c r="L30" s="15" t="n">
        <v>4511</v>
      </c>
      <c r="M30" s="15" t="n">
        <v>14400</v>
      </c>
    </row>
    <row r="31">
      <c r="C31" s="13" t="inlineStr">
        <is>
          <t>Июль</t>
        </is>
      </c>
      <c r="D31" s="15" t="n">
        <v>1237034</v>
      </c>
      <c r="E31" s="15" t="n">
        <v>951474</v>
      </c>
      <c r="F31" s="15" t="n">
        <v>285560</v>
      </c>
      <c r="G31" s="16" t="n">
        <v>0</v>
      </c>
      <c r="H31" s="15" t="n">
        <v>2968.339999999989</v>
      </c>
      <c r="I31" s="16" t="n">
        <v>0</v>
      </c>
      <c r="J31" s="15" t="n">
        <v>5000</v>
      </c>
      <c r="K31" s="15" t="n">
        <v>129680.46</v>
      </c>
      <c r="L31" s="15" t="n">
        <v>14308</v>
      </c>
      <c r="M31" s="15" t="n">
        <v>21493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&amp;CМ_СНЕЖ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C1:M41"/>
  <sheetViews>
    <sheetView showGridLines="0"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7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 ht="8" customHeight="1"/>
    <row r="2" ht="8" customHeight="1"/>
    <row r="3" ht="27" customHeight="1">
      <c r="C3" s="1" t="inlineStr">
        <is>
          <t>Профиль магазина: УМБА</t>
        </is>
      </c>
    </row>
    <row r="4"/>
    <row r="5" ht="30" customHeight="1">
      <c r="C5" s="2" t="inlineStr">
        <is>
          <t>операционная точка | Данные по листу «УМБА» исходной книги | январь–июль 2026</t>
        </is>
      </c>
    </row>
    <row r="6">
      <c r="C6" s="3" t="inlineStr">
        <is>
          <t>руб., кроме процентов</t>
        </is>
      </c>
    </row>
    <row r="7"/>
    <row r="8" ht="20" customHeight="1">
      <c r="C8" s="4" t="inlineStr">
        <is>
          <t>Финансовый результат</t>
        </is>
      </c>
    </row>
    <row r="9">
      <c r="C9" s="14" t="inlineStr">
        <is>
          <t>Выручка</t>
        </is>
      </c>
      <c r="D9" s="36">
        <f>SUM(D24:D31)</f>
        <v/>
      </c>
    </row>
    <row r="10">
      <c r="C10" s="13" t="inlineStr">
        <is>
          <t>Закупочная себестоимость</t>
        </is>
      </c>
      <c r="D10" s="37">
        <f>SUM(E24:E31)</f>
        <v/>
      </c>
    </row>
    <row r="11">
      <c r="C11" s="14" t="inlineStr">
        <is>
          <t>Валовая прибыль</t>
        </is>
      </c>
      <c r="D11" s="36">
        <f>SUM(F24:F31)</f>
        <v/>
      </c>
    </row>
    <row r="12">
      <c r="C12" s="38" t="inlineStr">
        <is>
          <t>Валовая маржа</t>
        </is>
      </c>
      <c r="D12" s="39">
        <f>IFERROR(D11/D9,0)</f>
        <v/>
      </c>
    </row>
    <row r="13">
      <c r="C13" s="13" t="inlineStr">
        <is>
          <t>Расходы</t>
        </is>
      </c>
      <c r="D13" s="37">
        <f>D9-D14</f>
        <v/>
      </c>
    </row>
    <row r="14">
      <c r="C14" s="40" t="inlineStr">
        <is>
          <t>Чистая прибыль</t>
        </is>
      </c>
      <c r="D14" s="41">
        <f>SUM(H24:H31)</f>
        <v/>
      </c>
    </row>
    <row r="15">
      <c r="C15" s="38" t="inlineStr">
        <is>
          <t>Чистая маржа</t>
        </is>
      </c>
      <c r="D15" s="39">
        <f>IFERROR(D14/D9,0)</f>
        <v/>
      </c>
    </row>
    <row r="16"/>
    <row r="17" ht="20" customHeight="1">
      <c r="C17" s="4" t="inlineStr">
        <is>
          <t>Лучший / худший месяц и диагностический вывод</t>
        </is>
      </c>
    </row>
    <row r="18">
      <c r="C18" s="14" t="inlineStr">
        <is>
          <t>Лучший месяц</t>
        </is>
      </c>
      <c r="D18" s="13" t="inlineStr">
        <is>
          <t>Июнь</t>
        </is>
      </c>
      <c r="E18" s="15" t="n">
        <v>43051.52</v>
      </c>
    </row>
    <row r="19">
      <c r="C19" s="14" t="inlineStr">
        <is>
          <t>Худший месяц</t>
        </is>
      </c>
      <c r="D19" s="13" t="n">
        <v>-169866.72</v>
      </c>
      <c r="E19" s="15" t="n">
        <v>-169866.72</v>
      </c>
    </row>
    <row r="20" ht="36" customHeight="1">
      <c r="C20" s="14" t="inlineStr">
        <is>
          <t>Главный фактор</t>
        </is>
      </c>
      <c r="D20" s="22" t="inlineStr">
        <is>
          <t>Убыточный результат: чистая маржа -6.5%, убыток 461,163. Крупнейшая контролируемая нагрузка — Закупочная себестоимость 5,253,971; наибольший избыток к медиане — «ФОТ и налоги на персонал» (441,317).</t>
        </is>
      </c>
    </row>
    <row r="21"/>
    <row r="22"/>
    <row r="23" ht="20" customHeight="1">
      <c r="C23" s="4" t="inlineStr">
        <is>
          <t>Помесячный P&amp;L</t>
        </is>
      </c>
    </row>
    <row r="24" ht="30" customHeight="1">
      <c r="C24" s="12" t="inlineStr">
        <is>
          <t>Месяц</t>
        </is>
      </c>
      <c r="D24" s="12" t="inlineStr">
        <is>
          <t>Выручка</t>
        </is>
      </c>
      <c r="E24" s="12" t="inlineStr">
        <is>
          <t>Закупка</t>
        </is>
      </c>
      <c r="F24" s="12" t="inlineStr">
        <is>
          <t>Валовая прибыль</t>
        </is>
      </c>
      <c r="G24" s="12" t="inlineStr">
        <is>
          <t>Валовая маржа</t>
        </is>
      </c>
      <c r="H24" s="12" t="inlineStr">
        <is>
          <t>Чистая прибыль</t>
        </is>
      </c>
      <c r="I24" s="12" t="inlineStr">
        <is>
          <t>Чистая маржа</t>
        </is>
      </c>
      <c r="J24" s="12" t="inlineStr">
        <is>
          <t>Аренда</t>
        </is>
      </c>
      <c r="K24" s="12" t="inlineStr">
        <is>
          <t>ФОТ и налоги</t>
        </is>
      </c>
      <c r="L24" s="12" t="inlineStr">
        <is>
          <t>Списания</t>
        </is>
      </c>
      <c r="M24" s="12" t="inlineStr">
        <is>
          <t>Траты наличные</t>
        </is>
      </c>
    </row>
    <row r="25">
      <c r="C25" s="13" t="inlineStr">
        <is>
          <t>Январь</t>
        </is>
      </c>
      <c r="D25" s="15" t="n">
        <v>804299</v>
      </c>
      <c r="E25" s="15" t="n">
        <v>576728</v>
      </c>
      <c r="F25" s="15" t="n">
        <v>227571</v>
      </c>
      <c r="G25" s="16" t="n">
        <v>0</v>
      </c>
      <c r="H25" s="15" t="n">
        <v>-56919.84</v>
      </c>
      <c r="I25" s="16" t="n">
        <v>0</v>
      </c>
      <c r="J25" s="15" t="n">
        <v>65000</v>
      </c>
      <c r="K25" s="15" t="n">
        <v>108790</v>
      </c>
      <c r="L25" s="15" t="n">
        <v>10680</v>
      </c>
      <c r="M25" s="15" t="n">
        <v>16000</v>
      </c>
    </row>
    <row r="26">
      <c r="C26" s="13" t="inlineStr">
        <is>
          <t>Февраль</t>
        </is>
      </c>
      <c r="D26" s="15" t="n">
        <v>912507</v>
      </c>
      <c r="E26" s="15" t="n">
        <v>673199</v>
      </c>
      <c r="F26" s="15" t="n">
        <v>239308</v>
      </c>
      <c r="G26" s="16" t="n">
        <v>0</v>
      </c>
      <c r="H26" s="15" t="n">
        <v>-105158.28</v>
      </c>
      <c r="I26" s="16" t="n">
        <v>0</v>
      </c>
      <c r="J26" s="15" t="n">
        <v>65000</v>
      </c>
      <c r="K26" s="15" t="n">
        <v>160221.46</v>
      </c>
      <c r="L26" s="15" t="n">
        <v>10609</v>
      </c>
      <c r="M26" s="15" t="n">
        <v>10543</v>
      </c>
    </row>
    <row r="27">
      <c r="C27" s="13" t="inlineStr">
        <is>
          <t>Март</t>
        </is>
      </c>
      <c r="D27" s="15" t="n">
        <v>985110</v>
      </c>
      <c r="E27" s="15" t="n">
        <v>722288</v>
      </c>
      <c r="F27" s="15" t="n">
        <v>262822</v>
      </c>
      <c r="G27" s="16" t="n">
        <v>0</v>
      </c>
      <c r="H27" s="15" t="n">
        <v>-89364.09999999999</v>
      </c>
      <c r="I27" s="16" t="n">
        <v>0</v>
      </c>
      <c r="J27" s="15" t="n">
        <v>65000</v>
      </c>
      <c r="K27" s="15" t="n">
        <v>164119</v>
      </c>
      <c r="L27" s="15" t="n">
        <v>16503</v>
      </c>
      <c r="M27" s="15" t="n">
        <v>10500</v>
      </c>
    </row>
    <row r="28">
      <c r="C28" s="13" t="inlineStr">
        <is>
          <t>Апрель</t>
        </is>
      </c>
      <c r="D28" s="15" t="n">
        <v>1085872</v>
      </c>
      <c r="E28" s="15" t="n">
        <v>785907</v>
      </c>
      <c r="F28" s="15" t="n">
        <v>299965</v>
      </c>
      <c r="G28" s="16" t="n">
        <v>0</v>
      </c>
      <c r="H28" s="15" t="n">
        <v>-40546.52</v>
      </c>
      <c r="I28" s="16" t="n">
        <v>0</v>
      </c>
      <c r="J28" s="15" t="n">
        <v>65000</v>
      </c>
      <c r="K28" s="15" t="n">
        <v>160105</v>
      </c>
      <c r="L28" s="15" t="n">
        <v>0</v>
      </c>
      <c r="M28" s="15" t="n">
        <v>10000</v>
      </c>
    </row>
    <row r="29">
      <c r="C29" s="13" t="inlineStr">
        <is>
          <t>Май</t>
        </is>
      </c>
      <c r="D29" s="15" t="n">
        <v>717315</v>
      </c>
      <c r="E29" s="15" t="n">
        <v>532114</v>
      </c>
      <c r="F29" s="15" t="n">
        <v>185201</v>
      </c>
      <c r="G29" s="16" t="n">
        <v>0</v>
      </c>
      <c r="H29" s="15" t="n">
        <v>-169866.72</v>
      </c>
      <c r="I29" s="16" t="n">
        <v>0</v>
      </c>
      <c r="J29" s="15" t="n">
        <v>65000</v>
      </c>
      <c r="K29" s="15" t="n">
        <v>168409</v>
      </c>
      <c r="L29" s="15" t="n">
        <v>1312</v>
      </c>
      <c r="M29" s="15" t="n">
        <v>30000</v>
      </c>
    </row>
    <row r="30">
      <c r="C30" s="13" t="inlineStr">
        <is>
          <t>Июнь</t>
        </is>
      </c>
      <c r="D30" s="15" t="n">
        <v>1230325</v>
      </c>
      <c r="E30" s="15" t="n">
        <v>908030</v>
      </c>
      <c r="F30" s="15" t="n">
        <v>322295</v>
      </c>
      <c r="G30" s="16" t="n">
        <v>0</v>
      </c>
      <c r="H30" s="15" t="n">
        <v>43051.52</v>
      </c>
      <c r="I30" s="16" t="n">
        <v>0</v>
      </c>
      <c r="J30" s="15" t="n">
        <v>0</v>
      </c>
      <c r="K30" s="15" t="n">
        <v>160398.92</v>
      </c>
      <c r="L30" s="15" t="n">
        <v>46874</v>
      </c>
      <c r="M30" s="15" t="n">
        <v>11336</v>
      </c>
    </row>
    <row r="31">
      <c r="C31" s="13" t="inlineStr">
        <is>
          <t>Июль</t>
        </is>
      </c>
      <c r="D31" s="15" t="n">
        <v>1406774</v>
      </c>
      <c r="E31" s="15" t="n">
        <v>1055705</v>
      </c>
      <c r="F31" s="15" t="n">
        <v>351069</v>
      </c>
      <c r="G31" s="16" t="n">
        <v>0</v>
      </c>
      <c r="H31" s="15" t="n">
        <v>-42359.50000000001</v>
      </c>
      <c r="I31" s="16" t="n">
        <v>0</v>
      </c>
      <c r="J31" s="15" t="n">
        <v>0</v>
      </c>
      <c r="K31" s="15" t="n">
        <v>257437.9</v>
      </c>
      <c r="L31" s="15" t="n">
        <v>6177</v>
      </c>
      <c r="M31" s="15" t="n">
        <v>19000</v>
      </c>
    </row>
    <row r="32">
      <c r="C32" s="20" t="inlineStr">
        <is>
          <t>Итого факт (янв–июл)</t>
        </is>
      </c>
      <c r="D32" s="42">
        <f>SUM(D25:D31)</f>
        <v/>
      </c>
      <c r="E32" s="42">
        <f>SUM(E25:E31)</f>
        <v/>
      </c>
      <c r="F32" s="42">
        <f>SUM(F25:F31)</f>
        <v/>
      </c>
      <c r="G32" s="43">
        <f>IFERROR(F32/D32,0)</f>
        <v/>
      </c>
      <c r="H32" s="42">
        <f>SUM(H25:H31)</f>
        <v/>
      </c>
      <c r="I32" s="43">
        <f>IFERROR(H32/D32,0)</f>
        <v/>
      </c>
      <c r="J32" s="42">
        <f>SUM(J25:J31)</f>
        <v/>
      </c>
      <c r="K32" s="42">
        <f>SUM(K25:K31)</f>
        <v/>
      </c>
      <c r="L32" s="42">
        <f>SUM(L25:L31)</f>
        <v/>
      </c>
      <c r="M32" s="42">
        <f>SUM(M25:M31)</f>
        <v/>
      </c>
    </row>
    <row r="33"/>
    <row r="34"/>
    <row r="35"/>
    <row r="36"/>
    <row r="37"/>
    <row r="38"/>
    <row r="39" ht="20" customHeight="1">
      <c r="C39" s="4" t="inlineStr">
        <is>
          <t>Контроль формул исходного листа</t>
        </is>
      </c>
    </row>
    <row r="40">
      <c r="C40" s="44" t="inlineStr">
        <is>
          <t>Статус: пройдено. На листе исходной книги обнаружено 6 484 формулы; ошибки формул и расхождения после независимого пересчета не выявлены.</t>
        </is>
      </c>
    </row>
    <row r="41"/>
  </sheetData>
  <mergeCells count="9">
    <mergeCell ref="C40:K41"/>
    <mergeCell ref="C5:K5"/>
    <mergeCell ref="D20:K21"/>
    <mergeCell ref="C3:K3"/>
    <mergeCell ref="C17:K17"/>
    <mergeCell ref="C23:K23"/>
    <mergeCell ref="C8:K8"/>
    <mergeCell ref="C39:K39"/>
    <mergeCell ref="C6:K6"/>
  </mergeCells>
  <printOptions horizontalCentered="0"/>
  <pageMargins left="0.75" right="0.75" top="1" bottom="1" header="0.5" footer="0.5"/>
  <pageSetup orientation="landscape" fitToHeight="0" fitToWidth="1"/>
  <headerFooter>
    <oddHeader/>
    <oddFooter>&amp;CМ_УМБА | Страница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 AI</dc:creator>
  <dc:title xmlns:dc="http://purl.org/dc/elements/1.1/">Супер-отчет по прибыли магазинов — 2026</dc:title>
  <dc:subject xmlns:dc="http://purl.org/dc/elements/1.1/">Аудит формул и финансовый анализ розничной сети</dc:subject>
  <dcterms:created xmlns:dcterms="http://purl.org/dc/terms/" xmlns:xsi="http://www.w3.org/2001/XMLSchema-instance" xsi:type="dcterms:W3CDTF">2026-08-31T12:08:52Z</dcterms:created>
  <dcterms:modified xmlns:dcterms="http://purl.org/dc/terms/" xmlns:xsi="http://www.w3.org/2001/XMLSchema-instance" xsi:type="dcterms:W3CDTF">2026-08-31T12:08:53Z</dcterms:modified>
</cp:coreProperties>
</file>